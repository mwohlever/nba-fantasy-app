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2026 Standings" sheetId="2" r:id="rId6"/>
    <sheet state="visible" name="2026 Player Stats" sheetId="3" r:id="rId7"/>
    <sheet state="visible" name="2025 Standings" sheetId="4" r:id="rId8"/>
    <sheet state="visible" name="NBA Player List" sheetId="5" r:id="rId9"/>
    <sheet state="visible" name="Daily_Template" sheetId="6" r:id="rId10"/>
    <sheet state="visible" name="41926" sheetId="7" r:id="rId11"/>
    <sheet state="hidden" name="Raw_Stats" sheetId="8" r:id="rId12"/>
    <sheet state="hidden" name="Name_Map" sheetId="9" r:id="rId13"/>
    <sheet state="hidden" name="Player_Map" sheetId="10" r:id="rId14"/>
    <sheet state="hidden" name="51525" sheetId="11" r:id="rId15"/>
    <sheet state="hidden" name="51425" sheetId="12" r:id="rId16"/>
    <sheet state="hidden" name="51325" sheetId="13" r:id="rId17"/>
    <sheet state="hidden" name="51225" sheetId="14" r:id="rId18"/>
    <sheet state="hidden" name="51125" sheetId="15" r:id="rId19"/>
    <sheet state="hidden" name="51025" sheetId="16" r:id="rId20"/>
    <sheet state="hidden" name="5825" sheetId="17" r:id="rId21"/>
    <sheet state="hidden" name="5725" sheetId="18" r:id="rId22"/>
    <sheet state="hidden" name="5625" sheetId="19" r:id="rId23"/>
    <sheet state="hidden" name="5525" sheetId="20" r:id="rId24"/>
    <sheet state="hidden" name="5425" sheetId="21" r:id="rId25"/>
    <sheet state="hidden" name="5225" sheetId="22" r:id="rId26"/>
    <sheet state="hidden" name="5125" sheetId="23" r:id="rId27"/>
    <sheet state="hidden" name="43025" sheetId="24" r:id="rId28"/>
    <sheet state="hidden" name="42925" sheetId="25" r:id="rId29"/>
    <sheet state="hidden" name="42825" sheetId="26" r:id="rId30"/>
    <sheet state="hidden" name="42725" sheetId="27" r:id="rId31"/>
    <sheet state="hidden" name="42625" sheetId="28" r:id="rId32"/>
    <sheet state="hidden" name="42525" sheetId="29" r:id="rId33"/>
    <sheet state="hidden" name="42425" sheetId="30" r:id="rId34"/>
    <sheet state="hidden" name="42325" sheetId="31" r:id="rId35"/>
    <sheet state="hidden" name="42225" sheetId="32" r:id="rId36"/>
    <sheet state="hidden" name="42125" sheetId="33" r:id="rId37"/>
    <sheet state="hidden" name="42025" sheetId="34" r:id="rId38"/>
    <sheet state="hidden" name="41925" sheetId="35" r:id="rId39"/>
    <sheet state="hidden" name="2025 Overview" sheetId="36" r:id="rId40"/>
    <sheet state="hidden" name="52724" sheetId="37" r:id="rId41"/>
    <sheet state="hidden" name="52524" sheetId="38" r:id="rId42"/>
    <sheet state="hidden" name="52324" sheetId="39" r:id="rId43"/>
    <sheet state="hidden" name="52124" sheetId="40" r:id="rId44"/>
    <sheet state="hidden" name="51824" sheetId="41" r:id="rId45"/>
    <sheet state="hidden" name="51624" sheetId="42" r:id="rId46"/>
    <sheet state="hidden" name="51524" sheetId="43" r:id="rId47"/>
    <sheet state="hidden" name="51424" sheetId="44" r:id="rId48"/>
    <sheet state="hidden" name="51324" sheetId="45" r:id="rId49"/>
    <sheet state="hidden" name="51224" sheetId="46" r:id="rId50"/>
    <sheet state="hidden" name="51124" sheetId="47" r:id="rId51"/>
    <sheet state="hidden" name="51024" sheetId="48" r:id="rId52"/>
    <sheet state="hidden" name="5924" sheetId="49" r:id="rId53"/>
    <sheet state="hidden" name="5624" sheetId="50" r:id="rId54"/>
    <sheet state="hidden" name="5424" sheetId="51" r:id="rId55"/>
    <sheet state="hidden" name="5324" sheetId="52" r:id="rId56"/>
    <sheet state="hidden" name="42823" sheetId="53" r:id="rId57"/>
    <sheet state="hidden" name="42123" sheetId="54" r:id="rId58"/>
    <sheet state="hidden" name="41723" sheetId="55" r:id="rId59"/>
    <sheet state="hidden" name="41623" sheetId="56" r:id="rId60"/>
    <sheet state="hidden" name="41523" sheetId="57" r:id="rId61"/>
    <sheet state="hidden" name="41426" sheetId="58" r:id="rId62"/>
    <sheet state="hidden" name="41726" sheetId="59" r:id="rId63"/>
    <sheet state="hidden" name="41826" sheetId="60" r:id="rId64"/>
    <sheet state="visible" name="42026" sheetId="61" r:id="rId65"/>
  </sheets>
  <definedNames/>
  <calcPr/>
</workbook>
</file>

<file path=xl/sharedStrings.xml><?xml version="1.0" encoding="utf-8"?>
<sst xmlns="http://schemas.openxmlformats.org/spreadsheetml/2006/main" count="5740" uniqueCount="393">
  <si>
    <t>🔥 LATEST RESULTS</t>
  </si>
  <si>
    <t>Date</t>
  </si>
  <si>
    <t>Update Live Results</t>
  </si>
  <si>
    <t>Last Refresh</t>
  </si>
  <si>
    <t>Status</t>
  </si>
  <si>
    <t>Skipped refresh — latest tab already final: 42026</t>
  </si>
  <si>
    <t>Player</t>
  </si>
  <si>
    <t>Score</t>
  </si>
  <si>
    <t>Completed Games</t>
  </si>
  <si>
    <t>In Progress</t>
  </si>
  <si>
    <t>Andy</t>
  </si>
  <si>
    <t>Josh</t>
  </si>
  <si>
    <t>Jon</t>
  </si>
  <si>
    <t>Mark</t>
  </si>
  <si>
    <t>Season Standings</t>
  </si>
  <si>
    <t>Name</t>
  </si>
  <si>
    <t>Wins</t>
  </si>
  <si>
    <t>Runner-ups</t>
  </si>
  <si>
    <t>Avg Finish</t>
  </si>
  <si>
    <t>Season Leader</t>
  </si>
  <si>
    <t>Avg Score</t>
  </si>
  <si>
    <t>High Score</t>
  </si>
  <si>
    <t>Low Score</t>
  </si>
  <si>
    <t>Refresh Standings</t>
  </si>
  <si>
    <t>Standings refreshed</t>
  </si>
  <si>
    <t>Scores</t>
  </si>
  <si>
    <t>4/14/26 - 4/15/26</t>
  </si>
  <si>
    <t>Finishing Position</t>
  </si>
  <si>
    <t>Times Drafted</t>
  </si>
  <si>
    <t>Winning Lineups</t>
  </si>
  <si>
    <t>Runner-up Lineups</t>
  </si>
  <si>
    <t>Refresh Player Stats</t>
  </si>
  <si>
    <t>Sort By</t>
  </si>
  <si>
    <t>Deni Avdija</t>
  </si>
  <si>
    <t>Player stats refreshed</t>
  </si>
  <si>
    <t>Descending</t>
  </si>
  <si>
    <t>LaMelo Ball</t>
  </si>
  <si>
    <t>Sorted by Avg Score (Descending)</t>
  </si>
  <si>
    <t>Direction</t>
  </si>
  <si>
    <t>Miles Bridges</t>
  </si>
  <si>
    <t>Tyrese Maxey</t>
  </si>
  <si>
    <t>Stephen Curry</t>
  </si>
  <si>
    <t>Brandon Miller</t>
  </si>
  <si>
    <t>Desmond Bane</t>
  </si>
  <si>
    <t>Darius Garland</t>
  </si>
  <si>
    <t>Kristaps Porzingis</t>
  </si>
  <si>
    <t>Dillon Brooks</t>
  </si>
  <si>
    <t>Tyler Herro</t>
  </si>
  <si>
    <t>Paul George</t>
  </si>
  <si>
    <t>Devin Booker</t>
  </si>
  <si>
    <t>Kawhi Leonard</t>
  </si>
  <si>
    <t>Paolo Banchero</t>
  </si>
  <si>
    <t>Wendell Carter Jr.</t>
  </si>
  <si>
    <t>Jerami Grant</t>
  </si>
  <si>
    <t>Franz Wagner</t>
  </si>
  <si>
    <t>Kon Knueppel</t>
  </si>
  <si>
    <t>Bam Adebayo</t>
  </si>
  <si>
    <t>Players</t>
  </si>
  <si>
    <t>Aaron Gordon</t>
  </si>
  <si>
    <t>Avg</t>
  </si>
  <si>
    <t>Median</t>
  </si>
  <si>
    <t>Max</t>
  </si>
  <si>
    <t>Min</t>
  </si>
  <si>
    <t>*through 5/16/25</t>
  </si>
  <si>
    <t>Giannis Antetekoumpo</t>
  </si>
  <si>
    <t>Alperun Sengun</t>
  </si>
  <si>
    <t>Nikola Jokic</t>
  </si>
  <si>
    <t>Player Name</t>
  </si>
  <si>
    <t>Number of Wins</t>
  </si>
  <si>
    <t>Jayson Tatum</t>
  </si>
  <si>
    <t>Karl-Anthony Towns</t>
  </si>
  <si>
    <t>LeBron James</t>
  </si>
  <si>
    <t>Jamal Murray</t>
  </si>
  <si>
    <t>Shai Gilgeous-Alexander</t>
  </si>
  <si>
    <t>Steph Curry</t>
  </si>
  <si>
    <t>Cade Cunningham</t>
  </si>
  <si>
    <t>Jimmy Butler</t>
  </si>
  <si>
    <t>Amen Thompson</t>
  </si>
  <si>
    <t>Anthony Edwards</t>
  </si>
  <si>
    <t>Luka Doncic</t>
  </si>
  <si>
    <t>Jalen Williams</t>
  </si>
  <si>
    <t>Rudy Gobert</t>
  </si>
  <si>
    <t>OG Anunoby</t>
  </si>
  <si>
    <t>Andrew Nembhard</t>
  </si>
  <si>
    <t>Jalen Brunson</t>
  </si>
  <si>
    <t>Michael Porter Jr.</t>
  </si>
  <si>
    <t>Andrew Wiggins</t>
  </si>
  <si>
    <t>Donovan Mitchell</t>
  </si>
  <si>
    <t>Julius Randle</t>
  </si>
  <si>
    <t>Josh Hart</t>
  </si>
  <si>
    <t>James Harden</t>
  </si>
  <si>
    <t>Evan Mobley</t>
  </si>
  <si>
    <t>Tyrese Haliburton</t>
  </si>
  <si>
    <t>Derrick White</t>
  </si>
  <si>
    <t>Brandin Podziemski</t>
  </si>
  <si>
    <t>Ausar Thompson</t>
  </si>
  <si>
    <t>Austin Reaves</t>
  </si>
  <si>
    <t>Russell Westbrook</t>
  </si>
  <si>
    <t>Jaylen Brown</t>
  </si>
  <si>
    <t>Ivica Zubac</t>
  </si>
  <si>
    <t>Mikal Bridges</t>
  </si>
  <si>
    <t>Chet Holmgren</t>
  </si>
  <si>
    <t>Max Strus</t>
  </si>
  <si>
    <t>Fred VanVleet</t>
  </si>
  <si>
    <t>Bobby Portis</t>
  </si>
  <si>
    <t>Jarrett Allen</t>
  </si>
  <si>
    <t>Jaren Jackson Jr.</t>
  </si>
  <si>
    <t>Buddy Hield</t>
  </si>
  <si>
    <t>Jalen Duren</t>
  </si>
  <si>
    <t>Jalen Green</t>
  </si>
  <si>
    <t>Jaden McDaniels</t>
  </si>
  <si>
    <t>Pascal Siakam</t>
  </si>
  <si>
    <t>Damian Lillard</t>
  </si>
  <si>
    <t>Christian Braun</t>
  </si>
  <si>
    <t>Myles Turner</t>
  </si>
  <si>
    <t>Ja Morant</t>
  </si>
  <si>
    <t>Rui Hachimura</t>
  </si>
  <si>
    <t>Ty Jerome</t>
  </si>
  <si>
    <t>That Pod Guy</t>
  </si>
  <si>
    <t>Payton Pritchard</t>
  </si>
  <si>
    <t>Aaron Nesmith</t>
  </si>
  <si>
    <t>Isaiah Hartenstein</t>
  </si>
  <si>
    <t>Norman Powell</t>
  </si>
  <si>
    <t>Davion Mitchell</t>
  </si>
  <si>
    <t>Derrik Jones Jr.</t>
  </si>
  <si>
    <t>Giannis Antetokoumpo</t>
  </si>
  <si>
    <t>Draymond Green</t>
  </si>
  <si>
    <t xml:space="preserve">Donte DiVincenzo </t>
  </si>
  <si>
    <t>Tobias Harris</t>
  </si>
  <si>
    <t>Jrue Holiday</t>
  </si>
  <si>
    <t>Nickeil Alexander-Walker</t>
  </si>
  <si>
    <t>Jonathan Kuminga</t>
  </si>
  <si>
    <t>Obi Toppin</t>
  </si>
  <si>
    <t>Naz Reid</t>
  </si>
  <si>
    <t>Al Horford</t>
  </si>
  <si>
    <t>Deandre Hunter</t>
  </si>
  <si>
    <t>Jabari Smith Jr</t>
  </si>
  <si>
    <t>Malik Beasley</t>
  </si>
  <si>
    <t>Luke Kornet</t>
  </si>
  <si>
    <t>Tim Hardaway Jr</t>
  </si>
  <si>
    <t>Player List</t>
  </si>
  <si>
    <t>Position: Forward</t>
  </si>
  <si>
    <t>Position: Guard</t>
  </si>
  <si>
    <t>f</t>
  </si>
  <si>
    <t>g</t>
  </si>
  <si>
    <t>Kris Dunn</t>
  </si>
  <si>
    <t>Gary Payton II</t>
  </si>
  <si>
    <t>Benedict Mathurin</t>
  </si>
  <si>
    <t>Cason Wallace</t>
  </si>
  <si>
    <t>Daniss Jenkins</t>
  </si>
  <si>
    <t>Caris LeVert</t>
  </si>
  <si>
    <t>Kevin Huerter</t>
  </si>
  <si>
    <t>Duncan Robinson</t>
  </si>
  <si>
    <t>Jose Alverado</t>
  </si>
  <si>
    <t>Landry Shamet</t>
  </si>
  <si>
    <t>CJ McCollum</t>
  </si>
  <si>
    <t>Immanuel Quickley</t>
  </si>
  <si>
    <t>Anthony Black</t>
  </si>
  <si>
    <t>Bojan Bogdanovic</t>
  </si>
  <si>
    <t>Mitchell Robinson</t>
  </si>
  <si>
    <t>VJ Edgecomb</t>
  </si>
  <si>
    <t>Tari Eason</t>
  </si>
  <si>
    <t>Steven Adams</t>
  </si>
  <si>
    <t>Coby White</t>
  </si>
  <si>
    <t>Sam Hauser</t>
  </si>
  <si>
    <t>Aaron Wiggins</t>
  </si>
  <si>
    <t>Ajay Mitchell</t>
  </si>
  <si>
    <t>De'Arron Fox</t>
  </si>
  <si>
    <t>Dylan Harper</t>
  </si>
  <si>
    <t>Stephon Castle</t>
  </si>
  <si>
    <t>Keldon Johnson</t>
  </si>
  <si>
    <t>Bruce Brown</t>
  </si>
  <si>
    <t>Hugo Gonzalez</t>
  </si>
  <si>
    <t>Cameron Johnson</t>
  </si>
  <si>
    <t>Neemias Queta</t>
  </si>
  <si>
    <t>Luke Kennard</t>
  </si>
  <si>
    <t>Jalen Johnson</t>
  </si>
  <si>
    <t>Marcus Smart</t>
  </si>
  <si>
    <t>RJ Barrett</t>
  </si>
  <si>
    <t>Ayo Dousunmu</t>
  </si>
  <si>
    <t>Scottie Barnes</t>
  </si>
  <si>
    <t>Jakob Poeltl</t>
  </si>
  <si>
    <t>Collin Gillespie</t>
  </si>
  <si>
    <t>Scoot Henderson</t>
  </si>
  <si>
    <t>Joel Embiid</t>
  </si>
  <si>
    <t>Shaedon Sharpe</t>
  </si>
  <si>
    <t>Bennedict Mathurin</t>
  </si>
  <si>
    <t>Jalen Suggs</t>
  </si>
  <si>
    <t>Moussa Diabate</t>
  </si>
  <si>
    <t>Victor Wembanyama</t>
  </si>
  <si>
    <t>Harrison Barnes</t>
  </si>
  <si>
    <t>Devin Vassell</t>
  </si>
  <si>
    <t>Peyton Watson</t>
  </si>
  <si>
    <t>Deandre Ayton</t>
  </si>
  <si>
    <t>Kevin Durant</t>
  </si>
  <si>
    <t>Mark Williams</t>
  </si>
  <si>
    <t>Donovan Clingan</t>
  </si>
  <si>
    <t>John Collins</t>
  </si>
  <si>
    <t>Gui Santos</t>
  </si>
  <si>
    <t xml:space="preserve">Ryan Kalkbrenner </t>
  </si>
  <si>
    <t>Brandon Ingram</t>
  </si>
  <si>
    <t>Start Date</t>
  </si>
  <si>
    <t>Update Stats</t>
  </si>
  <si>
    <t>Last Update</t>
  </si>
  <si>
    <t>End Date</t>
  </si>
  <si>
    <t>Create Today Tab</t>
  </si>
  <si>
    <t>0/5</t>
  </si>
  <si>
    <t>Position</t>
  </si>
  <si>
    <t>Points (1)</t>
  </si>
  <si>
    <t>Rebounds (1.2)</t>
  </si>
  <si>
    <t>Assists (1.5)</t>
  </si>
  <si>
    <t>Steals (2)</t>
  </si>
  <si>
    <t>Blocks (2)</t>
  </si>
  <si>
    <t>Turnovers (-1)</t>
  </si>
  <si>
    <t>Total</t>
  </si>
  <si>
    <t>G</t>
  </si>
  <si>
    <t>F/C</t>
  </si>
  <si>
    <t>Totals</t>
  </si>
  <si>
    <t>Stats updated (15 rows, 4 games, 15 active players)</t>
  </si>
  <si>
    <t>Final</t>
  </si>
  <si>
    <t>Game Date</t>
  </si>
  <si>
    <t>PTS</t>
  </si>
  <si>
    <t>REB</t>
  </si>
  <si>
    <t>AST</t>
  </si>
  <si>
    <t>STL</t>
  </si>
  <si>
    <t>BLK</t>
  </si>
  <si>
    <t>TO</t>
  </si>
  <si>
    <t>Pulled At</t>
  </si>
  <si>
    <t>Event ID</t>
  </si>
  <si>
    <t>Canonical Player</t>
  </si>
  <si>
    <t>brandon ingram</t>
  </si>
  <si>
    <t>scottie barnes</t>
  </si>
  <si>
    <t>evan mobley</t>
  </si>
  <si>
    <t>james harden</t>
  </si>
  <si>
    <t>donovan mitchell</t>
  </si>
  <si>
    <t>jalen johnson</t>
  </si>
  <si>
    <t>nickeil alexander walker</t>
  </si>
  <si>
    <t>karl anthony towns</t>
  </si>
  <si>
    <t>jalen brunson</t>
  </si>
  <si>
    <t>julius randle</t>
  </si>
  <si>
    <t>rudy gobert</t>
  </si>
  <si>
    <t>anthony edwards</t>
  </si>
  <si>
    <t>aaron gordon</t>
  </si>
  <si>
    <t>nikola jokic</t>
  </si>
  <si>
    <t>jamal murray</t>
  </si>
  <si>
    <t>Sheet_Name</t>
  </si>
  <si>
    <t>Source_Name</t>
  </si>
  <si>
    <t>Alperen Sengun</t>
  </si>
  <si>
    <t>Giannis Antetokounmpo</t>
  </si>
  <si>
    <t>Eligible_Position</t>
  </si>
  <si>
    <t>Guard_List</t>
  </si>
  <si>
    <t>Frontcourt_List</t>
  </si>
  <si>
    <t>Darius Garland/Ty Jerome</t>
  </si>
  <si>
    <t>Fred Vanvleet</t>
  </si>
  <si>
    <t xml:space="preserve">Donovan Mitchell </t>
  </si>
  <si>
    <t xml:space="preserve">Nikola Jokic </t>
  </si>
  <si>
    <t xml:space="preserve">Kawhi Leonard </t>
  </si>
  <si>
    <t xml:space="preserve">Alperun Sengun </t>
  </si>
  <si>
    <t>Peyton Pritchard</t>
  </si>
  <si>
    <t xml:space="preserve">Jayson Tatum </t>
  </si>
  <si>
    <t xml:space="preserve">Cade Cunningham </t>
  </si>
  <si>
    <t>F/C/Jerome</t>
  </si>
  <si>
    <t xml:space="preserve">Payton Pritchard </t>
  </si>
  <si>
    <t>Alperin Senguin</t>
  </si>
  <si>
    <t>Kristaps Porzingiz</t>
  </si>
  <si>
    <t>Jalen Duran</t>
  </si>
  <si>
    <t>Avg pts</t>
  </si>
  <si>
    <t>🔐 Softr Record ID</t>
  </si>
  <si>
    <t>Brink</t>
  </si>
  <si>
    <t>JLTsg9t8zNkgd3QYukTEaY</t>
  </si>
  <si>
    <t>QXttd4ehLbCJXEDQSMwtTB</t>
  </si>
  <si>
    <t>VLW2EdDg51wzo1cHcYfoud</t>
  </si>
  <si>
    <t>Dxti4nnUPSEanHt6FDZ8km</t>
  </si>
  <si>
    <t>Games</t>
  </si>
  <si>
    <t>84SyBz1FoVkoFbhkmUS2Cz</t>
  </si>
  <si>
    <t>YVJo8hq1hAWZDebtpBmBDP</t>
  </si>
  <si>
    <t>NWpKtqH638oGVNPoy9cGzL</t>
  </si>
  <si>
    <t>Gg2gDRyjaq4fuZMzWbC4df</t>
  </si>
  <si>
    <t>R1HD8cYDhNEcqxeJECx5nS</t>
  </si>
  <si>
    <t>GjbyBDshz47VpETHiP1Ltv</t>
  </si>
  <si>
    <t>57J2N9Kf2eV9VTaxZUgma3</t>
  </si>
  <si>
    <t>UF6jNYFeEW6sCyfm1HHRWx</t>
  </si>
  <si>
    <t>25t7453TgfY8wxGTNS77yp</t>
  </si>
  <si>
    <t>AT7JY6eJVQA62q3vt2SZtL</t>
  </si>
  <si>
    <t>BJtSSjSxHYecezAve94Wuk</t>
  </si>
  <si>
    <t>7X6BU4ACYYcWN4QXp4NhUv</t>
  </si>
  <si>
    <t>SfG83kaJ8JtReUS76yt1EU</t>
  </si>
  <si>
    <t>JMQzuj8egmuPS3QieP3qyt</t>
  </si>
  <si>
    <t>6fNVwM6JSz5nuBwQa4bxJ7</t>
  </si>
  <si>
    <t>AiaFs316NyfatuUzJARuPj</t>
  </si>
  <si>
    <t>GghZhrpVE18M7j6SdCwBkL</t>
  </si>
  <si>
    <t>LTEFcXxHY6wJqZdeY6Ai16</t>
  </si>
  <si>
    <t>KF8vmVC3u5XUExkUMUgK8N</t>
  </si>
  <si>
    <t>98niWTtaVYgC4Zmro9J6J5</t>
  </si>
  <si>
    <t>Tmu3KHK2Rp5BtR91KfT8Lf</t>
  </si>
  <si>
    <t>QmmnJnTmMM6cpgamu4mr7f</t>
  </si>
  <si>
    <t>GpSJXfGRCQoNvyLgYazJEM</t>
  </si>
  <si>
    <t>JvBKB2eVSYDW6kP6zkDikq</t>
  </si>
  <si>
    <t>E3GrHMQy4Zr78qjt32AoQ7</t>
  </si>
  <si>
    <t>7kEQjvpWX6jQzW2m1nQ2n5</t>
  </si>
  <si>
    <t>TCDYxQ85VaGh9PAMTBKTe3</t>
  </si>
  <si>
    <t>YTi7DkbGUEmXcRChsBBLrM</t>
  </si>
  <si>
    <t>ASaiqodchrp4VnWJrPkZei</t>
  </si>
  <si>
    <t>3qhtD4PeUTnqivqofv8xXP</t>
  </si>
  <si>
    <t>2PDUqJNLZx7aHZUGpQ5GkV</t>
  </si>
  <si>
    <t>Cvtd4bzuPXsvYAofcHwUtu</t>
  </si>
  <si>
    <t>PxjLP2r9wkhutkUrZR3ey1</t>
  </si>
  <si>
    <t>9EmdENwp3bmsQXcvuxJWGj</t>
  </si>
  <si>
    <t>ASgrQBzbTHu6p92m435a1t</t>
  </si>
  <si>
    <t>Ls3JsHjXuESLuEMoizCfW</t>
  </si>
  <si>
    <t>KXWCw5vJGWUfh97YjaEEeE</t>
  </si>
  <si>
    <t>TmPN9zRDCdfm2ZrJ9BNWdC</t>
  </si>
  <si>
    <t>3CLvPEokf3PdvqXUjgLWpL</t>
  </si>
  <si>
    <t>D3gcnHuQpXydFeFDEGdy6i</t>
  </si>
  <si>
    <t>FX5dP4q637pN29uSs3VJRs</t>
  </si>
  <si>
    <t>BkxBPQrXPrFV8SLgytYL8t</t>
  </si>
  <si>
    <t>AvLtkynoPAJuMNzTHmTU7P</t>
  </si>
  <si>
    <t>BWnaPP7fsZGmnmQ56SLSuT</t>
  </si>
  <si>
    <t>RNGfQFZE9U62T3asDvcHS2</t>
  </si>
  <si>
    <t>KQD4wY5W2foBe7ZNuBrSid</t>
  </si>
  <si>
    <t>7pDf4cwMNnHF89ftN71QqT</t>
  </si>
  <si>
    <t>89Zfw3bSUjNaCLXXqcKumx</t>
  </si>
  <si>
    <t>HFG8t771aTExhBZCmm6sX</t>
  </si>
  <si>
    <t>XrQZrKW4j2JdGadUQ3AAs7</t>
  </si>
  <si>
    <t>ASc6NueHDRWEmUJnVF7NPS</t>
  </si>
  <si>
    <t>UxXBgfqb78xBqFHckdUR5H</t>
  </si>
  <si>
    <t>HzWZVrUjm2xFFARqZstc9Q</t>
  </si>
  <si>
    <t>As3dYRMeg7jG9an2XpahDq</t>
  </si>
  <si>
    <t>4g3ft4u6Jh8mmjvSURXPfQ</t>
  </si>
  <si>
    <t>EtYC1L7x1vnJMGe3bySq32</t>
  </si>
  <si>
    <t>6DG2srXrRjAEKEVSCb2iRC</t>
  </si>
  <si>
    <t>H7bLonW2mboykASqzK3Vr7</t>
  </si>
  <si>
    <t>HJjTEsZvuMQnjjnbVEvXLq</t>
  </si>
  <si>
    <t>TJ McConnell</t>
  </si>
  <si>
    <t>Mike Conley</t>
  </si>
  <si>
    <t>PJ Washington</t>
  </si>
  <si>
    <t>DJJ</t>
  </si>
  <si>
    <t>Kyrie Irving</t>
  </si>
  <si>
    <t>Daniel Gafford</t>
  </si>
  <si>
    <t>https://docs.google.com/spreadsheets/d/1rIbxHoJjYWWXdM7cpm8585SjVyxylTrWrYfi_wikdf8/edit?usp=sharing</t>
  </si>
  <si>
    <t xml:space="preserve">TJ McConnell </t>
  </si>
  <si>
    <t xml:space="preserve">PJ Washington </t>
  </si>
  <si>
    <t xml:space="preserve">Myles Turner </t>
  </si>
  <si>
    <t xml:space="preserve">Andrew Nembhard </t>
  </si>
  <si>
    <t>Derek Lively II</t>
  </si>
  <si>
    <t>Kyire Irving</t>
  </si>
  <si>
    <t>Dereck Lively II</t>
  </si>
  <si>
    <t>Donte Divincenzo</t>
  </si>
  <si>
    <t>TJ McConnell, CPA</t>
  </si>
  <si>
    <t>Derrick Jones Jr</t>
  </si>
  <si>
    <t>Luguentz Dort</t>
  </si>
  <si>
    <t>Michael Porter Jr</t>
  </si>
  <si>
    <t>Donte DiVincenzo</t>
  </si>
  <si>
    <r>
      <rPr>
        <rFont val="arial, sans, sans-serif"/>
        <color theme="1"/>
      </rPr>
      <t xml:space="preserve">TJ McConnell, </t>
    </r>
    <r>
      <rPr>
        <rFont val="arial, sans, sans-serif"/>
        <b/>
        <color theme="1"/>
      </rPr>
      <t>CPA</t>
    </r>
  </si>
  <si>
    <t>Josh Giddey</t>
  </si>
  <si>
    <t>Jaylin Williams</t>
  </si>
  <si>
    <t>Kentavious Caldwell-Pope</t>
  </si>
  <si>
    <t xml:space="preserve">Jaden McDaniels </t>
  </si>
  <si>
    <t xml:space="preserve">Michael Conley </t>
  </si>
  <si>
    <t>KAT</t>
  </si>
  <si>
    <t>Terrance Mann</t>
  </si>
  <si>
    <t>Derrick Lively</t>
  </si>
  <si>
    <t>Zubacs</t>
  </si>
  <si>
    <t>Russell Westbroke</t>
  </si>
  <si>
    <t>Derrick Jones Jr.</t>
  </si>
  <si>
    <t>Wendall Carter Junior</t>
  </si>
  <si>
    <t>Max Struss</t>
  </si>
  <si>
    <t>Maxi Kleber</t>
  </si>
  <si>
    <t>De'Aaron Fox</t>
  </si>
  <si>
    <t>AustHIM Reaves</t>
  </si>
  <si>
    <t>Anthony Davis</t>
  </si>
  <si>
    <t>Domantas Sabonis</t>
  </si>
  <si>
    <t>Malik Monk</t>
  </si>
  <si>
    <t>KARENNNN Jackson Jr.</t>
  </si>
  <si>
    <t>Kevon Looney</t>
  </si>
  <si>
    <t>Trae Young</t>
  </si>
  <si>
    <t>De'aaron Fox</t>
  </si>
  <si>
    <t xml:space="preserve">Russell Westbrick </t>
  </si>
  <si>
    <t>F</t>
  </si>
  <si>
    <t>C</t>
  </si>
  <si>
    <t xml:space="preserve">Anthony Edwards </t>
  </si>
  <si>
    <t>Khris Middleton</t>
  </si>
  <si>
    <t>Jimmy butler</t>
  </si>
  <si>
    <t>KAREN Jackson Jr</t>
  </si>
  <si>
    <t>Jamal murray</t>
  </si>
  <si>
    <t>Rudy gobert</t>
  </si>
  <si>
    <t>Dejonte Murray</t>
  </si>
  <si>
    <t>Clint Capela</t>
  </si>
  <si>
    <t>Jalyn Brown</t>
  </si>
  <si>
    <t>Nic Claxton</t>
  </si>
  <si>
    <t>Stats updated (20 rows, 4 games, 20 active players)</t>
  </si>
  <si>
    <t>Stats updated (20 rows, 2 games, 20 active players)</t>
  </si>
  <si>
    <t>Stats updated (15 rows, 3 games, 15 active players)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</si>
</sst>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/d/yyyy h:mm:ss am/pm"/>
    <numFmt numFmtId="166" formatCode="m/d/yy"/>
    <numFmt numFmtId="167" formatCode="0.0%"/>
    <numFmt numFmtId="168" formatCode="m/d/yyyy"/>
    <numFmt numFmtId="169" formatCode="m/d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F6F8"/>
        <bgColor rgb="FFF4F6F8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3B84DB"/>
        <bgColor rgb="FF3B84DB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4" fillId="2" fontId="3" numFmtId="164" xfId="0" applyAlignment="1" applyBorder="1" applyFont="1" applyNumberFormat="1">
      <alignment horizontal="center"/>
    </xf>
    <xf borderId="0" fillId="0" fontId="4" numFmtId="0" xfId="0" applyFont="1"/>
    <xf borderId="4" fillId="3" fontId="5" numFmtId="0" xfId="0" applyAlignment="1" applyBorder="1" applyFill="1" applyFont="1">
      <alignment readingOrder="0"/>
    </xf>
    <xf borderId="4" fillId="0" fontId="4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4" fillId="3" fontId="6" numFmtId="0" xfId="0" applyAlignment="1" applyBorder="1" applyFont="1">
      <alignment readingOrder="0"/>
    </xf>
    <xf borderId="4" fillId="0" fontId="6" numFmtId="165" xfId="0" applyAlignment="1" applyBorder="1" applyFont="1" applyNumberFormat="1">
      <alignment horizontal="left" readingOrder="0"/>
    </xf>
    <xf borderId="4" fillId="4" fontId="3" numFmtId="0" xfId="0" applyAlignment="1" applyBorder="1" applyFill="1" applyFont="1">
      <alignment horizontal="center" readingOrder="0"/>
    </xf>
    <xf borderId="4" fillId="4" fontId="3" numFmtId="164" xfId="0" applyAlignment="1" applyBorder="1" applyFont="1" applyNumberFormat="1">
      <alignment horizontal="center"/>
    </xf>
    <xf borderId="4" fillId="4" fontId="3" numFmtId="0" xfId="0" applyAlignment="1" applyBorder="1" applyFont="1">
      <alignment horizontal="center" readingOrder="0" shrinkToFit="0" wrapText="1"/>
    </xf>
    <xf borderId="0" fillId="4" fontId="6" numFmtId="0" xfId="0" applyFont="1"/>
    <xf borderId="4" fillId="0" fontId="6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6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2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2" xfId="0" applyFont="1" applyNumberFormat="1"/>
    <xf borderId="0" fillId="0" fontId="6" numFmtId="2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4" xfId="0" applyAlignment="1" applyFont="1" applyNumberFormat="1">
      <alignment readingOrder="0"/>
    </xf>
    <xf borderId="0" fillId="0" fontId="6" numFmtId="166" xfId="0" applyFont="1" applyNumberFormat="1"/>
    <xf borderId="0" fillId="0" fontId="3" numFmtId="2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0" fontId="6" numFmtId="167" xfId="0" applyFont="1" applyNumberFormat="1"/>
    <xf borderId="4" fillId="5" fontId="3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4" fillId="0" fontId="6" numFmtId="2" xfId="0" applyBorder="1" applyFont="1" applyNumberFormat="1"/>
    <xf borderId="0" fillId="0" fontId="3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0" fontId="8" numFmtId="166" xfId="0" applyAlignment="1" applyFont="1" applyNumberFormat="1">
      <alignment readingOrder="0" vertical="bottom"/>
    </xf>
    <xf borderId="0" fillId="0" fontId="8" numFmtId="166" xfId="0" applyAlignment="1" applyFont="1" applyNumberFormat="1">
      <alignment readingOrder="0" vertical="bottom"/>
    </xf>
    <xf borderId="0" fillId="2" fontId="8" numFmtId="166" xfId="0" applyAlignment="1" applyFont="1" applyNumberFormat="1">
      <alignment readingOrder="0" vertical="bottom"/>
    </xf>
    <xf borderId="0" fillId="2" fontId="6" numFmtId="0" xfId="0" applyFont="1"/>
    <xf borderId="0" fillId="0" fontId="8" numFmtId="0" xfId="0" applyAlignment="1" applyFont="1">
      <alignment vertical="bottom"/>
    </xf>
    <xf borderId="0" fillId="6" fontId="9" numFmtId="0" xfId="0" applyAlignment="1" applyFill="1" applyFont="1">
      <alignment horizontal="center" readingOrder="0" vertical="bottom"/>
    </xf>
    <xf borderId="0" fillId="0" fontId="6" numFmtId="2" xfId="0" applyFont="1" applyNumberFormat="1"/>
    <xf borderId="0" fillId="0" fontId="8" numFmtId="0" xfId="0" applyAlignment="1" applyFont="1">
      <alignment horizontal="right" readingOrder="0" vertical="bottom"/>
    </xf>
    <xf borderId="0" fillId="7" fontId="8" numFmtId="0" xfId="0" applyAlignment="1" applyFill="1" applyFont="1">
      <alignment horizontal="right" vertical="bottom"/>
    </xf>
    <xf borderId="0" fillId="0" fontId="8" numFmtId="0" xfId="0" applyAlignment="1" applyFont="1">
      <alignment vertical="bottom"/>
    </xf>
    <xf borderId="4" fillId="8" fontId="9" numFmtId="0" xfId="0" applyAlignment="1" applyBorder="1" applyFill="1" applyFont="1">
      <alignment vertical="bottom"/>
    </xf>
    <xf borderId="4" fillId="8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0" fillId="6" fontId="10" numFmtId="0" xfId="0" applyAlignment="1" applyFont="1">
      <alignment horizontal="left"/>
    </xf>
    <xf borderId="0" fillId="0" fontId="8" numFmtId="0" xfId="0" applyAlignment="1" applyFont="1">
      <alignment horizontal="right" readingOrder="0" vertical="bottom"/>
    </xf>
    <xf borderId="0" fillId="8" fontId="8" numFmtId="0" xfId="0" applyAlignment="1" applyFont="1">
      <alignment horizontal="right" vertical="bottom"/>
    </xf>
    <xf borderId="0" fillId="6" fontId="10" numFmtId="0" xfId="0" applyAlignment="1" applyFont="1">
      <alignment horizontal="left" readingOrder="0"/>
    </xf>
    <xf borderId="7" fillId="0" fontId="8" numFmtId="0" xfId="0" applyAlignment="1" applyBorder="1" applyFont="1">
      <alignment horizontal="right" readingOrder="0" vertical="bottom"/>
    </xf>
    <xf borderId="8" fillId="8" fontId="8" numFmtId="0" xfId="0" applyAlignment="1" applyBorder="1" applyFont="1">
      <alignment horizontal="right" vertical="bottom"/>
    </xf>
    <xf borderId="8" fillId="7" fontId="8" numFmtId="0" xfId="0" applyAlignment="1" applyBorder="1" applyFont="1">
      <alignment horizontal="right" vertical="bottom"/>
    </xf>
    <xf borderId="7" fillId="0" fontId="6" numFmtId="0" xfId="0" applyAlignment="1" applyBorder="1" applyFont="1">
      <alignment readingOrder="0"/>
    </xf>
    <xf borderId="8" fillId="0" fontId="6" numFmtId="0" xfId="0" applyBorder="1" applyFont="1"/>
    <xf borderId="0" fillId="0" fontId="8" numFmtId="0" xfId="0" applyAlignment="1" applyFont="1">
      <alignment readingOrder="0" vertical="bottom"/>
    </xf>
    <xf borderId="5" fillId="0" fontId="8" numFmtId="0" xfId="0" applyAlignment="1" applyBorder="1" applyFont="1">
      <alignment horizontal="right" readingOrder="0" vertical="bottom"/>
    </xf>
    <xf borderId="8" fillId="0" fontId="8" numFmtId="0" xfId="0" applyAlignment="1" applyBorder="1" applyFont="1">
      <alignment horizontal="right" readingOrder="0" vertical="bottom"/>
    </xf>
    <xf borderId="7" fillId="0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4" fillId="0" fontId="6" numFmtId="2" xfId="0" applyAlignment="1" applyBorder="1" applyFont="1" applyNumberFormat="1">
      <alignment readingOrder="0"/>
    </xf>
    <xf borderId="4" fillId="9" fontId="8" numFmtId="0" xfId="0" applyAlignment="1" applyBorder="1" applyFill="1" applyFont="1">
      <alignment vertical="bottom"/>
    </xf>
    <xf borderId="4" fillId="9" fontId="8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9" fillId="9" fontId="8" numFmtId="0" xfId="0" applyAlignment="1" applyBorder="1" applyFont="1">
      <alignment vertical="bottom"/>
    </xf>
    <xf borderId="9" fillId="0" fontId="6" numFmtId="0" xfId="0" applyAlignment="1" applyBorder="1" applyFont="1">
      <alignment readingOrder="0"/>
    </xf>
    <xf borderId="0" fillId="0" fontId="8" numFmtId="0" xfId="0" applyAlignment="1" applyFont="1">
      <alignment horizontal="right" vertical="bottom"/>
    </xf>
    <xf borderId="7" fillId="0" fontId="8" numFmtId="0" xfId="0" applyAlignment="1" applyBorder="1" applyFont="1">
      <alignment horizontal="right" vertical="bottom"/>
    </xf>
    <xf borderId="0" fillId="9" fontId="8" numFmtId="0" xfId="0" applyAlignment="1" applyFont="1">
      <alignment vertical="bottom"/>
    </xf>
    <xf borderId="4" fillId="2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8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3" numFmtId="164" xfId="0" applyFont="1" applyNumberFormat="1"/>
    <xf borderId="0" fillId="0" fontId="9" numFmtId="0" xfId="0" applyAlignment="1" applyFont="1">
      <alignment readingOrder="0" vertical="bottom"/>
    </xf>
    <xf borderId="5" fillId="0" fontId="8" numFmtId="0" xfId="0" applyAlignment="1" applyBorder="1" applyFont="1">
      <alignment vertical="bottom"/>
    </xf>
    <xf borderId="7" fillId="0" fontId="8" numFmtId="0" xfId="0" applyAlignment="1" applyBorder="1" applyFont="1">
      <alignment readingOrder="0" vertical="bottom"/>
    </xf>
    <xf borderId="8" fillId="8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7" fillId="0" fontId="9" numFmtId="0" xfId="0" applyAlignment="1" applyBorder="1" applyFont="1">
      <alignment horizontal="right" vertical="bottom"/>
    </xf>
    <xf borderId="8" fillId="10" fontId="9" numFmtId="0" xfId="0" applyAlignment="1" applyBorder="1" applyFill="1" applyFont="1">
      <alignment horizontal="right" vertical="bottom"/>
    </xf>
    <xf borderId="0" fillId="11" fontId="8" numFmtId="0" xfId="0" applyAlignment="1" applyFill="1" applyFont="1">
      <alignment vertical="bottom"/>
    </xf>
    <xf borderId="8" fillId="7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0" fillId="10" fontId="9" numFmtId="0" xfId="0" applyAlignment="1" applyBorder="1" applyFont="1">
      <alignment horizontal="right" vertical="bottom"/>
    </xf>
    <xf borderId="4" fillId="0" fontId="8" numFmtId="168" xfId="0" applyAlignment="1" applyBorder="1" applyFont="1" applyNumberFormat="1">
      <alignment readingOrder="0" vertical="bottom"/>
    </xf>
    <xf borderId="4" fillId="0" fontId="8" numFmtId="165" xfId="0" applyAlignment="1" applyBorder="1" applyFont="1" applyNumberFormat="1">
      <alignment readingOrder="0" vertical="bottom"/>
    </xf>
    <xf borderId="0" fillId="0" fontId="3" numFmtId="16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6" numFmtId="168" xfId="0" applyFont="1" applyNumberFormat="1"/>
    <xf borderId="5" fillId="8" fontId="8" numFmtId="0" xfId="0" applyAlignment="1" applyBorder="1" applyFont="1">
      <alignment vertical="bottom"/>
    </xf>
    <xf borderId="0" fillId="0" fontId="9" numFmtId="49" xfId="0" applyAlignment="1" applyFont="1" applyNumberFormat="1">
      <alignment readingOrder="0" vertical="bottom"/>
    </xf>
    <xf borderId="5" fillId="0" fontId="8" numFmtId="0" xfId="0" applyAlignment="1" applyBorder="1" applyFont="1">
      <alignment readingOrder="0" vertical="bottom"/>
    </xf>
    <xf borderId="0" fillId="12" fontId="3" numFmtId="0" xfId="0" applyAlignment="1" applyFill="1" applyFont="1">
      <alignment readingOrder="0"/>
    </xf>
    <xf borderId="0" fillId="5" fontId="6" numFmtId="0" xfId="0" applyFont="1"/>
    <xf borderId="0" fillId="12" fontId="6" numFmtId="0" xfId="0" applyAlignment="1" applyFont="1">
      <alignment readingOrder="0"/>
    </xf>
    <xf borderId="0" fillId="12" fontId="6" numFmtId="0" xfId="0" applyFont="1"/>
    <xf borderId="0" fillId="6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10" fontId="9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IbxHoJjYWWXdM7cpm8585SjVyxylTrWrYfi_wikdf8/edit?usp=sharing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3.0"/>
    <col customWidth="1" min="7" max="7" width="2.88"/>
    <col customWidth="1" min="8" max="8" width="15.88"/>
    <col customWidth="1" min="9" max="9" width="28.0"/>
  </cols>
  <sheetData>
    <row r="1">
      <c r="A1" s="1" t="s">
        <v>0</v>
      </c>
      <c r="B1" s="2"/>
      <c r="C1" s="3"/>
      <c r="D1" s="4" t="s">
        <v>1</v>
      </c>
      <c r="E1" s="5" t="str">
        <f>'42126'!B1</f>
        <v>#REF!</v>
      </c>
      <c r="F1" s="6"/>
      <c r="G1" s="6"/>
      <c r="H1" s="7" t="s">
        <v>2</v>
      </c>
      <c r="I1" s="8" t="b">
        <v>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tr">
        <f>IF(AND(MAX(B5:B8)=0,COUNTIF(C5:C8,"&lt;&gt;0/5")=0),"",IF(COUNTIF(C5:C8,"5/5")=4,"Winner","Leader"))</f>
        <v>#REF!</v>
      </c>
      <c r="B2" s="3"/>
      <c r="C2" s="10" t="str">
        <f t="array" ref="C2">IF(AND(MAX(B5:B8)=0,COUNTIF(C5:C8,"&lt;&gt;0/5")=0),"",INDEX(A5:A8,MATCH(MAX(B5:B8),B5:B8,0)))</f>
        <v>#REF!</v>
      </c>
      <c r="D2" s="3"/>
      <c r="H2" s="11" t="s">
        <v>3</v>
      </c>
      <c r="I2" s="12">
        <v>46133.25492332176</v>
      </c>
    </row>
    <row r="3">
      <c r="A3" s="13"/>
      <c r="B3" s="14"/>
      <c r="C3" s="15"/>
      <c r="D3" s="16"/>
      <c r="H3" s="11" t="s">
        <v>4</v>
      </c>
      <c r="I3" s="17" t="s">
        <v>5</v>
      </c>
    </row>
    <row r="4">
      <c r="A4" s="4" t="s">
        <v>6</v>
      </c>
      <c r="B4" s="4" t="s">
        <v>7</v>
      </c>
      <c r="C4" s="18" t="s">
        <v>8</v>
      </c>
      <c r="D4" s="4" t="s">
        <v>9</v>
      </c>
    </row>
    <row r="5">
      <c r="A5" s="19" t="s">
        <v>10</v>
      </c>
      <c r="B5" s="20" t="str">
        <f>'42126'!I11</f>
        <v>#REF!</v>
      </c>
      <c r="C5" s="20" t="str">
        <f t="shared" ref="C5:C8" si="1">'42126'!L2</f>
        <v>#REF!</v>
      </c>
      <c r="D5" s="20" t="str">
        <f>'41426'!M2</f>
        <v>0/5</v>
      </c>
    </row>
    <row r="6">
      <c r="A6" s="19" t="s">
        <v>11</v>
      </c>
      <c r="B6" s="20" t="str">
        <f>'42126'!I38</f>
        <v>#REF!</v>
      </c>
      <c r="C6" s="20" t="str">
        <f t="shared" si="1"/>
        <v>#REF!</v>
      </c>
      <c r="D6" s="20" t="str">
        <f>'41426'!M3</f>
        <v>0/5</v>
      </c>
    </row>
    <row r="7">
      <c r="A7" s="19" t="s">
        <v>12</v>
      </c>
      <c r="B7" s="20" t="str">
        <f>'42126'!I20</f>
        <v>#REF!</v>
      </c>
      <c r="C7" s="20" t="str">
        <f t="shared" si="1"/>
        <v>#REF!</v>
      </c>
      <c r="D7" s="20" t="str">
        <f>'41426'!M4</f>
        <v>0/5</v>
      </c>
    </row>
    <row r="8">
      <c r="A8" s="19" t="s">
        <v>13</v>
      </c>
      <c r="B8" s="20" t="str">
        <f>'42126'!I29</f>
        <v>#REF!</v>
      </c>
      <c r="C8" s="20" t="str">
        <f t="shared" si="1"/>
        <v>#REF!</v>
      </c>
      <c r="D8" s="20" t="str">
        <f>'41426'!M5</f>
        <v>0/5</v>
      </c>
      <c r="H8" s="21">
        <f>IFERROR(__xludf.DUMMYFUNCTION("MAX(FILTER(ROW('2026 Standings'!B:B),ROW('2026 Standings'!B:B)&lt;MATCH(""Finishing Position"",'2026 Standings'!A:A,0),'2026 Standings'!B:B&lt;&gt;""""))"),13.0)</f>
        <v>13</v>
      </c>
    </row>
    <row r="9">
      <c r="A9" s="22"/>
      <c r="B9" s="22"/>
    </row>
    <row r="10">
      <c r="A10" s="23" t="s">
        <v>14</v>
      </c>
    </row>
    <row r="11">
      <c r="A11" s="19" t="s">
        <v>15</v>
      </c>
      <c r="B11" s="19" t="s">
        <v>16</v>
      </c>
      <c r="C11" s="19" t="s">
        <v>17</v>
      </c>
      <c r="D11" s="19" t="s">
        <v>18</v>
      </c>
      <c r="E11" s="24"/>
      <c r="F11" s="24"/>
      <c r="G11" s="24"/>
      <c r="H11" s="25"/>
      <c r="I11" s="25"/>
      <c r="J11" s="26"/>
      <c r="K11" s="26"/>
    </row>
    <row r="12">
      <c r="A12" s="27" t="str">
        <f t="array" ref="A12:D15">SORT('2026 Standings'!A2:D5,'2026 Standings'!B2:B5,FALSE,'2026 Standings'!D2:D5,TRUE,'2026 Standings'!A2:A5,TRUE)</f>
        <v>Josh</v>
      </c>
      <c r="B12" s="28">
        <v>2.0</v>
      </c>
      <c r="C12" s="28">
        <v>2.0</v>
      </c>
      <c r="D12" s="29">
        <v>1.8</v>
      </c>
    </row>
    <row r="13">
      <c r="A13" s="27" t="s">
        <v>13</v>
      </c>
      <c r="B13" s="28">
        <v>2.0</v>
      </c>
      <c r="C13" s="28">
        <v>2.0</v>
      </c>
      <c r="D13" s="29">
        <v>1.8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7" t="s">
        <v>12</v>
      </c>
      <c r="B14" s="28">
        <v>1.0</v>
      </c>
      <c r="C14" s="28">
        <v>0.0</v>
      </c>
      <c r="D14" s="29">
        <v>3.0</v>
      </c>
    </row>
    <row r="15">
      <c r="A15" s="27" t="s">
        <v>10</v>
      </c>
      <c r="B15" s="28">
        <v>0.0</v>
      </c>
      <c r="C15" s="28">
        <v>1.0</v>
      </c>
      <c r="D15" s="29">
        <v>3.0</v>
      </c>
    </row>
    <row r="16">
      <c r="A16" s="30"/>
      <c r="B16" s="30"/>
    </row>
    <row r="17">
      <c r="A17" s="31" t="s">
        <v>19</v>
      </c>
      <c r="B17" s="32"/>
    </row>
    <row r="18">
      <c r="A18" s="33" t="s">
        <v>15</v>
      </c>
      <c r="B18" s="33" t="s">
        <v>16</v>
      </c>
      <c r="E18" s="34"/>
      <c r="F18" s="26"/>
      <c r="G18" s="26"/>
      <c r="H18" s="26"/>
      <c r="I18" s="26"/>
      <c r="J18" s="26"/>
    </row>
    <row r="19">
      <c r="A19" s="27" t="str">
        <f t="shared" ref="A19:B19" si="2">INDEX(A12:A15,1)</f>
        <v>Josh</v>
      </c>
      <c r="B19" s="28">
        <f t="shared" si="2"/>
        <v>2</v>
      </c>
      <c r="E19" s="26"/>
      <c r="F19" s="26"/>
      <c r="G19" s="26"/>
      <c r="H19" s="26"/>
      <c r="I19" s="26"/>
      <c r="J19" s="26"/>
    </row>
    <row r="25">
      <c r="C25" s="35"/>
    </row>
  </sheetData>
  <mergeCells count="5">
    <mergeCell ref="A1:C1"/>
    <mergeCell ref="A2:B2"/>
    <mergeCell ref="C2:D2"/>
    <mergeCell ref="A10:B10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7" width="11.38"/>
    <col customWidth="1" min="8" max="9" width="15.75"/>
    <col customWidth="1" min="10" max="10" width="8.38"/>
  </cols>
  <sheetData>
    <row r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20</v>
      </c>
      <c r="F1" s="34" t="s">
        <v>21</v>
      </c>
      <c r="G1" s="34" t="s">
        <v>22</v>
      </c>
      <c r="H1" s="36" t="s">
        <v>23</v>
      </c>
      <c r="I1" s="36" t="b">
        <v>0</v>
      </c>
      <c r="J1" s="24"/>
    </row>
    <row r="2">
      <c r="A2" s="34" t="s">
        <v>10</v>
      </c>
      <c r="B2" s="21">
        <f>COUNTIF(B18:B22,1)</f>
        <v>0</v>
      </c>
      <c r="C2" s="21">
        <f>COUNTIF(B18:B22,2)</f>
        <v>1</v>
      </c>
      <c r="D2" s="37">
        <f>IFERROR(AVERAGE(B18:B22),"")</f>
        <v>3</v>
      </c>
      <c r="E2" s="37">
        <f>IFERROR(AVERAGE(B9:B13),"")</f>
        <v>161.96</v>
      </c>
      <c r="F2" s="37">
        <f>IFERROR(MAX(B9:B13),"")</f>
        <v>182.2</v>
      </c>
      <c r="G2" s="37">
        <f>IFERROR(MIN(B9:B13),"")</f>
        <v>129.4</v>
      </c>
      <c r="H2" s="38" t="s">
        <v>3</v>
      </c>
      <c r="I2" s="39">
        <v>46133.25523790509</v>
      </c>
      <c r="J2" s="37"/>
    </row>
    <row r="3">
      <c r="A3" s="34" t="s">
        <v>11</v>
      </c>
      <c r="B3" s="21">
        <f>COUNTIF(C18:C22,1)</f>
        <v>2</v>
      </c>
      <c r="C3" s="21">
        <f>COUNTIF(C18:C22,2)</f>
        <v>2</v>
      </c>
      <c r="D3" s="37">
        <f>IFERROR(AVERAGE(C18:C22),"")</f>
        <v>1.8</v>
      </c>
      <c r="E3" s="37">
        <f>IFERROR(AVERAGE(C9:C13),"")</f>
        <v>170.46</v>
      </c>
      <c r="F3" s="37">
        <f>IFERROR(MAX(C9:C13),"")</f>
        <v>189.2</v>
      </c>
      <c r="G3" s="37">
        <f>IFERROR(MIN(C9:C13),"")</f>
        <v>152.9</v>
      </c>
      <c r="H3" s="38" t="s">
        <v>4</v>
      </c>
      <c r="I3" s="38" t="s">
        <v>24</v>
      </c>
      <c r="J3" s="37"/>
    </row>
    <row r="4">
      <c r="A4" s="34" t="s">
        <v>12</v>
      </c>
      <c r="B4" s="21">
        <f>COUNTIF(D18:D22,1)</f>
        <v>1</v>
      </c>
      <c r="C4" s="21">
        <f>COUNTIF(D18:D22,2)</f>
        <v>0</v>
      </c>
      <c r="D4" s="37">
        <f>IFERROR(AVERAGE(D18:D22),"")</f>
        <v>3</v>
      </c>
      <c r="E4" s="37">
        <f>IFERROR(AVERAGE(D9:D13),"")</f>
        <v>141.8333333</v>
      </c>
      <c r="F4" s="37">
        <f>IFERROR(MAX(D9:D13),"")</f>
        <v>200.5</v>
      </c>
      <c r="G4" s="37">
        <f>IFERROR(MIN(D9:D13),"")</f>
        <v>84.5</v>
      </c>
      <c r="H4" s="37"/>
      <c r="I4" s="37"/>
      <c r="J4" s="37"/>
    </row>
    <row r="5">
      <c r="A5" s="34" t="s">
        <v>13</v>
      </c>
      <c r="B5" s="21">
        <f>COUNTIF(E18:E22,1)</f>
        <v>2</v>
      </c>
      <c r="C5" s="21">
        <f>COUNTIF(E18:E22,2)</f>
        <v>2</v>
      </c>
      <c r="D5" s="37">
        <f>IFERROR(AVERAGE(E18:E22),"")</f>
        <v>1.8</v>
      </c>
      <c r="E5" s="37">
        <f>IFERROR(AVERAGE(E9:E13),"")</f>
        <v>185.7</v>
      </c>
      <c r="F5" s="37">
        <f>IFERROR(MAX(E9:E13),"")</f>
        <v>217.9</v>
      </c>
      <c r="G5" s="37">
        <f>IFERROR(MIN(E9:E13),"")</f>
        <v>138.2</v>
      </c>
      <c r="H5" s="37"/>
      <c r="I5" s="37"/>
      <c r="J5" s="37"/>
    </row>
    <row r="7">
      <c r="A7" s="36" t="s">
        <v>25</v>
      </c>
    </row>
    <row r="8">
      <c r="A8" s="34" t="s">
        <v>1</v>
      </c>
      <c r="B8" s="34" t="s">
        <v>10</v>
      </c>
      <c r="C8" s="34" t="s">
        <v>11</v>
      </c>
      <c r="D8" s="34" t="s">
        <v>12</v>
      </c>
      <c r="E8" s="34" t="s">
        <v>13</v>
      </c>
    </row>
    <row r="9">
      <c r="A9" s="36" t="s">
        <v>26</v>
      </c>
      <c r="B9" s="24">
        <f>IF(COUNTIF('41426'!L2:L5,"&lt;&gt;0/5")=0,"",IF(COUNTA('41426'!B6:B10)=0,"",'41426'!I11))</f>
        <v>182.2</v>
      </c>
      <c r="C9" s="24">
        <f>IF(COUNTIF('41426'!L2:L5,"&lt;&gt;0/5")=0,"",IF(COUNTA('41426'!B33:B37)=0,"",'41426'!I38))</f>
        <v>152.9</v>
      </c>
      <c r="D9" s="24">
        <f>IF(COUNTIF('41426'!L2:L5,"&lt;&gt;0/5")=0,"",IF(COUNTA('41426'!B15:B19)=0,"",'41426'!I20))</f>
        <v>140.5</v>
      </c>
      <c r="E9" s="24">
        <f>IF(COUNTIF('41426'!L2:L5,"&lt;&gt;0/5")=0,"",IF(COUNTA('41426'!B24:B28)=0,"",'41426'!I29))</f>
        <v>217.9</v>
      </c>
      <c r="F9" s="24"/>
      <c r="G9" s="24"/>
      <c r="H9" s="24"/>
      <c r="I9" s="24"/>
      <c r="J9" s="24"/>
    </row>
    <row r="10">
      <c r="A10" s="40">
        <v>46129.0</v>
      </c>
      <c r="B10" s="21">
        <f>IF(COUNTIF('41726'!L2:L5,"&lt;&gt;0/5")=0,"",IF(COUNTA('41726'!B6:B10)=0,"",'41726'!I11))</f>
        <v>129.4</v>
      </c>
      <c r="C10" s="21">
        <f>IF(COUNTIF('41726'!L2:L5,"&lt;&gt;0/5")=0,"",IF(COUNTA('41726'!B33:B37)=0,"",'41726'!I38))</f>
        <v>153.3</v>
      </c>
      <c r="D10" s="21">
        <f>IF(COUNTIF('41726'!L2:L5,"&lt;&gt;0/5")=0,"",IF(COUNTA('41726'!B15:B19)=0,"",'41726'!I20))</f>
        <v>84.5</v>
      </c>
      <c r="E10" s="21">
        <f>IF(COUNTIF('41726'!L2:L5,"&lt;&gt;0/5")=0,"",IF(COUNTA('41726'!B24:B28)=0,"",'41726'!I29))</f>
        <v>138.2</v>
      </c>
    </row>
    <row r="11">
      <c r="A11" s="41">
        <v>46130.0</v>
      </c>
      <c r="B11" s="21">
        <f>IF(COUNTIF('41826'!L2:L5,"&lt;&gt;0/5")=0,"",IF(COUNTA('41826'!B6:B10)=0,"",'41826'!I11))</f>
        <v>166.9</v>
      </c>
      <c r="C11" s="21">
        <f>IF(COUNTIF('41826'!L2:L5,"&lt;&gt;0/5")=0,"",IF(COUNTA('41826'!B33:B37)=0,"",'41826'!I38))</f>
        <v>182.6</v>
      </c>
      <c r="D11" s="21">
        <f>IF(COUNTIF('41826'!L2:L5,"&lt;&gt;0/5")=0,"",IF(COUNTA('41826'!B15:B19)=0,"",'41826'!I20))</f>
        <v>200.5</v>
      </c>
      <c r="E11" s="21">
        <f>IF(COUNTIF('41826'!L2:L5,"&lt;&gt;0/5")=0,"",IF(COUNTA('41826'!B24:B28)=0,"",'41826'!I29))</f>
        <v>178.6</v>
      </c>
    </row>
    <row r="12">
      <c r="A12" s="41">
        <v>46131.0</v>
      </c>
      <c r="B12" s="24">
        <f>IF(COUNTIF('41926'!L2:L5,"&lt;&gt;0/5")=0,"",IF(COUNTA('41926'!B6:B10)=0,"",'41926'!I11))</f>
        <v>157.8</v>
      </c>
      <c r="C12" s="24">
        <f>IF(COUNTIF('41926'!L2:L5,"&lt;&gt;0/5")=0,"",IF(COUNTA('41926'!B33:B37)=0,"",'41926'!I38))</f>
        <v>174.3</v>
      </c>
      <c r="D12" s="24" t="str">
        <f>IF(COUNTIF('41926'!L2:L5,"&lt;&gt;0/5")=0,"",IF(COUNTA('41926'!B15:B19)=0,"",'41926'!I20))</f>
        <v/>
      </c>
      <c r="E12" s="24">
        <f>IF(COUNTIF('41926'!L2:L5,"&lt;&gt;0/5")=0,"",IF(COUNTA('41926'!B24:B28)=0,"",'41926'!I29))</f>
        <v>213.8</v>
      </c>
    </row>
    <row r="13">
      <c r="A13" s="41">
        <v>46132.0</v>
      </c>
      <c r="B13" s="24">
        <f>IF(COUNTIF('42026'!L2:L5,"&lt;&gt;0/5")=0,"",IF(COUNTA('42026'!B6:B10)=0,"",'42026'!I11))</f>
        <v>173.5</v>
      </c>
      <c r="C13" s="24">
        <f>IF(COUNTIF('42026'!L2:L5,"&lt;&gt;0/5")=0,"",IF(COUNTA('42026'!B33:B37)=0,"",'42026'!I38))</f>
        <v>189.2</v>
      </c>
      <c r="D13" s="24" t="str">
        <f>IF(COUNTIF('42026'!L2:L5,"&lt;&gt;0/5")=0,"",IF(COUNTA('42026'!B15:B19)=0,"",'42026'!I20))</f>
        <v/>
      </c>
      <c r="E13" s="24">
        <f>IF(COUNTIF('42026'!L2:L5,"&lt;&gt;0/5")=0,"",IF(COUNTA('42026'!B24:B28)=0,"",'42026'!I29))</f>
        <v>180</v>
      </c>
    </row>
    <row r="14">
      <c r="A14" s="24"/>
      <c r="B14" s="24"/>
      <c r="C14" s="24"/>
      <c r="D14" s="24"/>
      <c r="E14" s="24"/>
    </row>
    <row r="15">
      <c r="A15" s="24"/>
    </row>
    <row r="16">
      <c r="A16" s="36" t="s">
        <v>27</v>
      </c>
      <c r="B16" s="24"/>
      <c r="C16" s="24"/>
      <c r="D16" s="24"/>
      <c r="E16" s="24"/>
    </row>
    <row r="17">
      <c r="A17" s="34" t="s">
        <v>1</v>
      </c>
      <c r="B17" s="34" t="s">
        <v>10</v>
      </c>
      <c r="C17" s="34" t="s">
        <v>11</v>
      </c>
      <c r="D17" s="34" t="s">
        <v>12</v>
      </c>
      <c r="E17" s="34" t="s">
        <v>13</v>
      </c>
    </row>
    <row r="18">
      <c r="A18" s="36" t="s">
        <v>26</v>
      </c>
      <c r="B18" s="21">
        <f>IFERROR(__xludf.DUMMYFUNCTION("IF(B9="""","""",RANK(B9,FILTER($B9:$E9,$B9:$E9&lt;&gt;""""),0))"),2.0)</f>
        <v>2</v>
      </c>
      <c r="C18" s="21">
        <f>IFERROR(__xludf.DUMMYFUNCTION("IF(C9="""","""",RANK(C9,FILTER($B9:$E9,$B9:$E9&lt;&gt;""""),0))"),3.0)</f>
        <v>3</v>
      </c>
      <c r="D18" s="21">
        <f>IFERROR(__xludf.DUMMYFUNCTION("IF(D9="""","""",RANK(D9,FILTER($B9:$E9,$B9:$E9&lt;&gt;""""),0))"),4.0)</f>
        <v>4</v>
      </c>
      <c r="E18" s="21">
        <f>IFERROR(__xludf.DUMMYFUNCTION("IF(E9="""","""",RANK(E9,FILTER($B9:$E9,$B9:$E9&lt;&gt;""""),0))"),1.0)</f>
        <v>1</v>
      </c>
    </row>
    <row r="19">
      <c r="A19" s="40">
        <v>46129.0</v>
      </c>
      <c r="B19" s="21">
        <f>IFERROR(__xludf.DUMMYFUNCTION("IF(B10="""","""",RANK(B10,FILTER($B10:$E10,$B10:$E10&lt;&gt;""""),0))"),3.0)</f>
        <v>3</v>
      </c>
      <c r="C19" s="21">
        <f>IFERROR(__xludf.DUMMYFUNCTION("IF(C10="""","""",RANK(C10,FILTER($B10:$E10,$B10:$E10&lt;&gt;""""),0))"),1.0)</f>
        <v>1</v>
      </c>
      <c r="D19" s="21">
        <f>IFERROR(__xludf.DUMMYFUNCTION("IF(D10="""","""",RANK(D10,FILTER($B10:$E10,$B10:$E10&lt;&gt;""""),0))"),4.0)</f>
        <v>4</v>
      </c>
      <c r="E19" s="21">
        <f>IFERROR(__xludf.DUMMYFUNCTION("IF(E10="""","""",RANK(E10,FILTER($B10:$E10,$B10:$E10&lt;&gt;""""),0))"),2.0)</f>
        <v>2</v>
      </c>
    </row>
    <row r="20">
      <c r="A20" s="40">
        <v>46130.0</v>
      </c>
      <c r="B20" s="21">
        <f>IFERROR(__xludf.DUMMYFUNCTION("IF(B11="""","""",RANK(B11,FILTER($B11:$E11,$B11:$E11&lt;&gt;""""),0))"),4.0)</f>
        <v>4</v>
      </c>
      <c r="C20" s="21">
        <f>IFERROR(__xludf.DUMMYFUNCTION("IF(C11="""","""",RANK(C11,FILTER($B11:$E11,$B11:$E11&lt;&gt;""""),0))"),2.0)</f>
        <v>2</v>
      </c>
      <c r="D20" s="21">
        <f>IFERROR(__xludf.DUMMYFUNCTION("IF(D11="""","""",RANK(D11,FILTER($B11:$E11,$B11:$E11&lt;&gt;""""),0))"),1.0)</f>
        <v>1</v>
      </c>
      <c r="E20" s="21">
        <f>IFERROR(__xludf.DUMMYFUNCTION("IF(E11="""","""",RANK(E11,FILTER($B11:$E11,$B11:$E11&lt;&gt;""""),0))"),3.0)</f>
        <v>3</v>
      </c>
    </row>
    <row r="21">
      <c r="A21" s="40">
        <v>46131.0</v>
      </c>
      <c r="B21" s="21">
        <f>IFERROR(__xludf.DUMMYFUNCTION("IF(B12="""","""",RANK(B12,FILTER($B12:$E12,$B12:$E12&lt;&gt;""""),0))"),3.0)</f>
        <v>3</v>
      </c>
      <c r="C21" s="21">
        <f>IFERROR(__xludf.DUMMYFUNCTION("IF(C12="""","""",RANK(C12,FILTER($B12:$E12,$B12:$E12&lt;&gt;""""),0))"),2.0)</f>
        <v>2</v>
      </c>
      <c r="D21" s="21" t="str">
        <f>IFERROR(__xludf.DUMMYFUNCTION("IF(D12="""","""",RANK(D12,FILTER($B12:$E12,$B12:$E12&lt;&gt;""""),0))"),"")</f>
        <v/>
      </c>
      <c r="E21" s="21">
        <f>IFERROR(__xludf.DUMMYFUNCTION("IF(E12="""","""",RANK(E12,FILTER($B12:$E12,$B12:$E12&lt;&gt;""""),0))"),1.0)</f>
        <v>1</v>
      </c>
    </row>
    <row r="22">
      <c r="A22" s="40">
        <v>46132.0</v>
      </c>
      <c r="B22" s="21">
        <f>IFERROR(__xludf.DUMMYFUNCTION("IF(B13="""","""",RANK(B13,FILTER($B13:$E13,$B13:$E13&lt;&gt;""""),0))"),3.0)</f>
        <v>3</v>
      </c>
      <c r="C22" s="21">
        <f>IFERROR(__xludf.DUMMYFUNCTION("IF(C13="""","""",RANK(C13,FILTER($B13:$E13,$B13:$E13&lt;&gt;""""),0))"),1.0)</f>
        <v>1</v>
      </c>
      <c r="D22" s="21" t="str">
        <f>IFERROR(__xludf.DUMMYFUNCTION("IF(D13="""","""",RANK(D13,FILTER($B13:$E13,$B13:$E13&lt;&gt;""""),0))"),"")</f>
        <v/>
      </c>
      <c r="E22" s="21">
        <f>IFERROR(__xludf.DUMMYFUNCTION("IF(E13="""","""",RANK(E13,FILTER($B13:$E13,$B13:$E13&lt;&gt;""""),0))"),2.0)</f>
        <v>2</v>
      </c>
    </row>
    <row r="23">
      <c r="A23" s="42"/>
    </row>
    <row r="24">
      <c r="A24" s="42"/>
    </row>
    <row r="25">
      <c r="A25" s="42"/>
    </row>
    <row r="26">
      <c r="A26" s="42"/>
    </row>
    <row r="27">
      <c r="A27" s="42"/>
    </row>
    <row r="28">
      <c r="A28" s="42"/>
    </row>
    <row r="29">
      <c r="A29" s="42"/>
    </row>
    <row r="30">
      <c r="A30" s="42"/>
    </row>
    <row r="31">
      <c r="A31" s="42"/>
    </row>
    <row r="32">
      <c r="A32" s="42"/>
    </row>
    <row r="33">
      <c r="A33" s="42"/>
    </row>
    <row r="34">
      <c r="A34" s="42"/>
    </row>
    <row r="35">
      <c r="A35" s="42"/>
    </row>
    <row r="36">
      <c r="A36" s="42"/>
    </row>
    <row r="37">
      <c r="A37" s="42"/>
    </row>
    <row r="38">
      <c r="A38" s="42"/>
    </row>
    <row r="39">
      <c r="A39" s="42"/>
    </row>
    <row r="40">
      <c r="A40" s="42"/>
    </row>
    <row r="41">
      <c r="A41" s="42"/>
    </row>
    <row r="42">
      <c r="A42" s="42"/>
    </row>
    <row r="44">
      <c r="A44" s="24"/>
      <c r="B44" s="24"/>
      <c r="C44" s="24"/>
      <c r="D44" s="24"/>
      <c r="E44" s="24"/>
    </row>
    <row r="45">
      <c r="A45" s="24"/>
      <c r="B45" s="24"/>
      <c r="C45" s="24"/>
      <c r="D45" s="24"/>
      <c r="E45" s="24"/>
    </row>
    <row r="46">
      <c r="A46" s="42"/>
    </row>
    <row r="47">
      <c r="A47" s="42"/>
    </row>
    <row r="48">
      <c r="A48" s="42"/>
    </row>
    <row r="49">
      <c r="A49" s="42"/>
    </row>
    <row r="50">
      <c r="A50" s="42"/>
    </row>
    <row r="51">
      <c r="A51" s="42"/>
    </row>
    <row r="52">
      <c r="A52" s="42"/>
    </row>
    <row r="53">
      <c r="A53" s="42"/>
    </row>
    <row r="54">
      <c r="A54" s="42"/>
    </row>
    <row r="55">
      <c r="A55" s="42"/>
    </row>
    <row r="56">
      <c r="A56" s="42"/>
    </row>
    <row r="57">
      <c r="A57" s="42"/>
    </row>
    <row r="58">
      <c r="A58" s="42"/>
    </row>
    <row r="59">
      <c r="A59" s="42"/>
    </row>
    <row r="60">
      <c r="A60" s="42"/>
    </row>
    <row r="61">
      <c r="A61" s="42"/>
    </row>
    <row r="62">
      <c r="A62" s="42"/>
    </row>
    <row r="63">
      <c r="A63" s="42"/>
    </row>
    <row r="64">
      <c r="A64" s="42"/>
    </row>
    <row r="65">
      <c r="A65" s="42"/>
    </row>
    <row r="66">
      <c r="A66" s="42"/>
    </row>
    <row r="67">
      <c r="A67" s="42"/>
    </row>
    <row r="68">
      <c r="A68" s="42"/>
    </row>
    <row r="69">
      <c r="A69" s="42"/>
    </row>
    <row r="70">
      <c r="A70" s="42"/>
    </row>
    <row r="71">
      <c r="A71" s="42"/>
    </row>
    <row r="72">
      <c r="A72" s="42"/>
    </row>
    <row r="73">
      <c r="A73" s="42"/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3.88"/>
    <col customWidth="1" min="3" max="5" width="12.63"/>
    <col customWidth="1" min="6" max="6" width="15.13"/>
    <col customWidth="1" min="7" max="7" width="16.38"/>
    <col customWidth="1" min="8" max="8" width="11.38"/>
    <col customWidth="1" min="9" max="9" width="13.88"/>
    <col customWidth="1" min="10" max="11" width="12.63"/>
  </cols>
  <sheetData>
    <row r="1">
      <c r="A1" s="34" t="s">
        <v>6</v>
      </c>
      <c r="B1" s="34" t="s">
        <v>28</v>
      </c>
      <c r="C1" s="43" t="s">
        <v>20</v>
      </c>
      <c r="D1" s="34" t="s">
        <v>21</v>
      </c>
      <c r="E1" s="34" t="s">
        <v>22</v>
      </c>
      <c r="F1" s="34" t="s">
        <v>29</v>
      </c>
      <c r="G1" s="34" t="s">
        <v>30</v>
      </c>
      <c r="H1" s="34" t="s">
        <v>31</v>
      </c>
      <c r="I1" s="34" t="b">
        <v>1</v>
      </c>
      <c r="J1" s="43" t="s">
        <v>32</v>
      </c>
      <c r="K1" s="38" t="s">
        <v>20</v>
      </c>
      <c r="L1" s="24"/>
    </row>
    <row r="2">
      <c r="A2" s="36" t="s">
        <v>33</v>
      </c>
      <c r="B2" s="44">
        <v>1.0</v>
      </c>
      <c r="C2" s="38">
        <v>66.4</v>
      </c>
      <c r="D2" s="44">
        <v>66.4</v>
      </c>
      <c r="E2" s="44">
        <v>66.4</v>
      </c>
      <c r="F2" s="44">
        <v>1.0</v>
      </c>
      <c r="G2" s="44">
        <v>0.0</v>
      </c>
      <c r="H2" s="45">
        <v>1.0</v>
      </c>
      <c r="I2" s="36" t="s">
        <v>34</v>
      </c>
      <c r="J2" s="38">
        <v>66.4</v>
      </c>
      <c r="K2" s="38" t="s">
        <v>35</v>
      </c>
      <c r="L2" s="24"/>
    </row>
    <row r="3">
      <c r="A3" s="36" t="s">
        <v>36</v>
      </c>
      <c r="B3" s="44">
        <v>1.0</v>
      </c>
      <c r="C3" s="38">
        <v>52.0</v>
      </c>
      <c r="D3" s="44">
        <v>52.0</v>
      </c>
      <c r="E3" s="44">
        <v>52.0</v>
      </c>
      <c r="F3" s="44">
        <v>0.0</v>
      </c>
      <c r="G3" s="44">
        <v>1.0</v>
      </c>
      <c r="H3" s="36" t="s">
        <v>3</v>
      </c>
      <c r="I3" s="36" t="s">
        <v>37</v>
      </c>
      <c r="J3" s="38" t="s">
        <v>38</v>
      </c>
      <c r="K3" s="37"/>
    </row>
    <row r="4">
      <c r="A4" s="36" t="s">
        <v>39</v>
      </c>
      <c r="B4" s="44">
        <v>1.0</v>
      </c>
      <c r="C4" s="38">
        <v>49.8</v>
      </c>
      <c r="D4" s="44">
        <v>49.8</v>
      </c>
      <c r="E4" s="44">
        <v>49.8</v>
      </c>
      <c r="F4" s="44">
        <v>1.0</v>
      </c>
      <c r="G4" s="44">
        <v>0.0</v>
      </c>
      <c r="H4" s="45">
        <v>1.0</v>
      </c>
      <c r="I4" s="45">
        <v>0.0</v>
      </c>
      <c r="J4" s="38">
        <v>49.8</v>
      </c>
      <c r="K4" s="37"/>
    </row>
    <row r="5">
      <c r="A5" s="36" t="s">
        <v>40</v>
      </c>
      <c r="B5" s="44">
        <v>1.0</v>
      </c>
      <c r="C5" s="38">
        <v>43.4</v>
      </c>
      <c r="D5" s="44">
        <v>43.4</v>
      </c>
      <c r="E5" s="44">
        <v>43.4</v>
      </c>
      <c r="F5" s="44">
        <v>0.0</v>
      </c>
      <c r="G5" s="44">
        <v>0.0</v>
      </c>
      <c r="H5" s="45">
        <v>0.0</v>
      </c>
      <c r="I5" s="45">
        <v>0.0</v>
      </c>
      <c r="J5" s="38">
        <v>43.4</v>
      </c>
      <c r="K5" s="37"/>
    </row>
    <row r="6">
      <c r="A6" s="36" t="s">
        <v>41</v>
      </c>
      <c r="B6" s="44">
        <v>1.0</v>
      </c>
      <c r="C6" s="38">
        <v>41.2</v>
      </c>
      <c r="D6" s="44">
        <v>41.2</v>
      </c>
      <c r="E6" s="44">
        <v>41.2</v>
      </c>
      <c r="F6" s="44">
        <v>0.0</v>
      </c>
      <c r="G6" s="44">
        <v>0.0</v>
      </c>
      <c r="H6" s="45">
        <v>0.0</v>
      </c>
      <c r="I6" s="45">
        <v>0.0</v>
      </c>
      <c r="J6" s="38">
        <v>41.2</v>
      </c>
      <c r="K6" s="37"/>
    </row>
    <row r="7">
      <c r="A7" s="36" t="s">
        <v>42</v>
      </c>
      <c r="B7" s="44">
        <v>1.0</v>
      </c>
      <c r="C7" s="38">
        <v>39.5</v>
      </c>
      <c r="D7" s="44">
        <v>39.5</v>
      </c>
      <c r="E7" s="44">
        <v>39.5</v>
      </c>
      <c r="F7" s="44">
        <v>0.0</v>
      </c>
      <c r="G7" s="44">
        <v>1.0</v>
      </c>
      <c r="H7" s="45">
        <v>0.0</v>
      </c>
      <c r="I7" s="45">
        <v>1.0</v>
      </c>
      <c r="J7" s="38">
        <v>39.5</v>
      </c>
      <c r="K7" s="37"/>
    </row>
    <row r="8">
      <c r="A8" s="36" t="s">
        <v>43</v>
      </c>
      <c r="B8" s="44">
        <v>1.0</v>
      </c>
      <c r="C8" s="38">
        <v>39.1</v>
      </c>
      <c r="D8" s="44">
        <v>39.1</v>
      </c>
      <c r="E8" s="44">
        <v>39.1</v>
      </c>
      <c r="F8" s="44">
        <v>0.0</v>
      </c>
      <c r="G8" s="44">
        <v>1.0</v>
      </c>
      <c r="H8" s="36" t="s">
        <v>4</v>
      </c>
      <c r="I8" s="45">
        <v>1.0</v>
      </c>
      <c r="J8" s="38">
        <v>39.1</v>
      </c>
      <c r="K8" s="37"/>
    </row>
    <row r="9">
      <c r="A9" s="36" t="s">
        <v>44</v>
      </c>
      <c r="B9" s="44">
        <v>1.0</v>
      </c>
      <c r="C9" s="38">
        <v>39.0</v>
      </c>
      <c r="D9" s="44">
        <v>39.0</v>
      </c>
      <c r="E9" s="44">
        <v>39.0</v>
      </c>
      <c r="F9" s="44">
        <v>1.0</v>
      </c>
      <c r="G9" s="44">
        <v>0.0</v>
      </c>
      <c r="H9" s="45">
        <v>1.0</v>
      </c>
      <c r="I9" s="45">
        <v>0.0</v>
      </c>
      <c r="J9" s="38">
        <v>39.0</v>
      </c>
      <c r="K9" s="37"/>
    </row>
    <row r="10">
      <c r="A10" s="36" t="s">
        <v>45</v>
      </c>
      <c r="B10" s="44">
        <v>1.0</v>
      </c>
      <c r="C10" s="38">
        <v>38.5</v>
      </c>
      <c r="D10" s="44">
        <v>38.5</v>
      </c>
      <c r="E10" s="44">
        <v>38.5</v>
      </c>
      <c r="F10" s="44">
        <v>0.0</v>
      </c>
      <c r="G10" s="44">
        <v>1.0</v>
      </c>
      <c r="H10" s="45">
        <v>0.0</v>
      </c>
      <c r="I10" s="45">
        <v>1.0</v>
      </c>
      <c r="J10" s="38">
        <v>38.5</v>
      </c>
      <c r="K10" s="37"/>
    </row>
    <row r="11">
      <c r="A11" s="36" t="s">
        <v>46</v>
      </c>
      <c r="B11" s="44">
        <v>1.0</v>
      </c>
      <c r="C11" s="38">
        <v>38.4</v>
      </c>
      <c r="D11" s="44">
        <v>38.4</v>
      </c>
      <c r="E11" s="44">
        <v>38.4</v>
      </c>
      <c r="F11" s="44">
        <v>0.0</v>
      </c>
      <c r="G11" s="44">
        <v>0.0</v>
      </c>
      <c r="H11" s="45">
        <v>0.0</v>
      </c>
      <c r="I11" s="45">
        <v>0.0</v>
      </c>
      <c r="J11" s="38">
        <v>38.4</v>
      </c>
      <c r="K11" s="37"/>
    </row>
    <row r="12">
      <c r="A12" s="36" t="s">
        <v>47</v>
      </c>
      <c r="B12" s="44">
        <v>1.0</v>
      </c>
      <c r="C12" s="38">
        <v>33.6</v>
      </c>
      <c r="D12" s="44">
        <v>33.6</v>
      </c>
      <c r="E12" s="44">
        <v>33.6</v>
      </c>
      <c r="F12" s="44">
        <v>0.0</v>
      </c>
      <c r="G12" s="44">
        <v>0.0</v>
      </c>
      <c r="H12" s="45">
        <v>0.0</v>
      </c>
      <c r="I12" s="45">
        <v>0.0</v>
      </c>
      <c r="J12" s="38">
        <v>33.6</v>
      </c>
      <c r="K12" s="37"/>
    </row>
    <row r="13">
      <c r="A13" s="36" t="s">
        <v>48</v>
      </c>
      <c r="B13" s="44">
        <v>1.0</v>
      </c>
      <c r="C13" s="38">
        <v>33.5</v>
      </c>
      <c r="D13" s="44">
        <v>33.5</v>
      </c>
      <c r="E13" s="44">
        <v>33.5</v>
      </c>
      <c r="F13" s="44">
        <v>1.0</v>
      </c>
      <c r="G13" s="44">
        <v>0.0</v>
      </c>
      <c r="H13" s="45">
        <v>1.0</v>
      </c>
      <c r="I13" s="45">
        <v>0.0</v>
      </c>
      <c r="J13" s="38">
        <v>33.5</v>
      </c>
      <c r="K13" s="37"/>
    </row>
    <row r="14">
      <c r="A14" s="36" t="s">
        <v>49</v>
      </c>
      <c r="B14" s="44">
        <v>1.0</v>
      </c>
      <c r="C14" s="38">
        <v>29.2</v>
      </c>
      <c r="D14" s="44">
        <v>29.2</v>
      </c>
      <c r="E14" s="44">
        <v>29.2</v>
      </c>
      <c r="F14" s="44">
        <v>1.0</v>
      </c>
      <c r="G14" s="44">
        <v>0.0</v>
      </c>
      <c r="H14" s="45">
        <v>1.0</v>
      </c>
      <c r="I14" s="45">
        <v>0.0</v>
      </c>
      <c r="J14" s="38">
        <v>29.2</v>
      </c>
      <c r="K14" s="37"/>
    </row>
    <row r="15">
      <c r="A15" s="36" t="s">
        <v>50</v>
      </c>
      <c r="B15" s="44">
        <v>1.0</v>
      </c>
      <c r="C15" s="38">
        <v>28.9</v>
      </c>
      <c r="D15" s="44">
        <v>28.9</v>
      </c>
      <c r="E15" s="44">
        <v>28.9</v>
      </c>
      <c r="F15" s="44">
        <v>0.0</v>
      </c>
      <c r="G15" s="44">
        <v>0.0</v>
      </c>
      <c r="H15" s="45">
        <v>0.0</v>
      </c>
      <c r="I15" s="45">
        <v>0.0</v>
      </c>
      <c r="J15" s="38">
        <v>28.9</v>
      </c>
      <c r="K15" s="37"/>
    </row>
    <row r="16">
      <c r="A16" s="36" t="s">
        <v>51</v>
      </c>
      <c r="B16" s="44">
        <v>1.0</v>
      </c>
      <c r="C16" s="38">
        <v>26.0</v>
      </c>
      <c r="D16" s="44">
        <v>26.0</v>
      </c>
      <c r="E16" s="44">
        <v>26.0</v>
      </c>
      <c r="F16" s="44">
        <v>0.0</v>
      </c>
      <c r="G16" s="44">
        <v>0.0</v>
      </c>
      <c r="H16" s="45">
        <v>0.0</v>
      </c>
      <c r="I16" s="45">
        <v>0.0</v>
      </c>
      <c r="J16" s="38">
        <v>26.0</v>
      </c>
      <c r="K16" s="37"/>
    </row>
    <row r="17">
      <c r="A17" s="36" t="s">
        <v>52</v>
      </c>
      <c r="B17" s="44">
        <v>1.0</v>
      </c>
      <c r="C17" s="38">
        <v>25.7</v>
      </c>
      <c r="D17" s="44">
        <v>25.7</v>
      </c>
      <c r="E17" s="44">
        <v>25.7</v>
      </c>
      <c r="F17" s="44">
        <v>0.0</v>
      </c>
      <c r="G17" s="44">
        <v>0.0</v>
      </c>
      <c r="H17" s="45">
        <v>0.0</v>
      </c>
      <c r="I17" s="45">
        <v>0.0</v>
      </c>
      <c r="J17" s="38">
        <v>25.7</v>
      </c>
      <c r="K17" s="37"/>
    </row>
    <row r="18">
      <c r="A18" s="36" t="s">
        <v>53</v>
      </c>
      <c r="B18" s="44">
        <v>1.0</v>
      </c>
      <c r="C18" s="38">
        <v>21.4</v>
      </c>
      <c r="D18" s="44">
        <v>21.4</v>
      </c>
      <c r="E18" s="44">
        <v>21.4</v>
      </c>
      <c r="F18" s="44">
        <v>0.0</v>
      </c>
      <c r="G18" s="44">
        <v>0.0</v>
      </c>
      <c r="H18" s="45">
        <v>0.0</v>
      </c>
      <c r="I18" s="45">
        <v>0.0</v>
      </c>
      <c r="J18" s="38">
        <v>21.4</v>
      </c>
      <c r="K18" s="37"/>
    </row>
    <row r="19">
      <c r="A19" s="36" t="s">
        <v>54</v>
      </c>
      <c r="B19" s="44">
        <v>1.0</v>
      </c>
      <c r="C19" s="38">
        <v>21.3</v>
      </c>
      <c r="D19" s="44">
        <v>21.3</v>
      </c>
      <c r="E19" s="44">
        <v>21.3</v>
      </c>
      <c r="F19" s="44">
        <v>0.0</v>
      </c>
      <c r="G19" s="44">
        <v>0.0</v>
      </c>
      <c r="H19" s="45">
        <v>0.0</v>
      </c>
      <c r="I19" s="45">
        <v>0.0</v>
      </c>
      <c r="J19" s="38">
        <v>21.3</v>
      </c>
      <c r="K19" s="37"/>
    </row>
    <row r="20">
      <c r="A20" s="36" t="s">
        <v>55</v>
      </c>
      <c r="B20" s="44">
        <v>1.0</v>
      </c>
      <c r="C20" s="38">
        <v>13.5</v>
      </c>
      <c r="D20" s="44">
        <v>13.5</v>
      </c>
      <c r="E20" s="44">
        <v>13.5</v>
      </c>
      <c r="F20" s="44">
        <v>0.0</v>
      </c>
      <c r="G20" s="44">
        <v>0.0</v>
      </c>
      <c r="H20" s="45">
        <v>0.0</v>
      </c>
      <c r="I20" s="45">
        <v>0.0</v>
      </c>
      <c r="J20" s="38">
        <v>13.5</v>
      </c>
      <c r="K20" s="37"/>
    </row>
    <row r="21">
      <c r="A21" s="36" t="s">
        <v>56</v>
      </c>
      <c r="B21" s="44">
        <v>1.0</v>
      </c>
      <c r="C21" s="38">
        <v>13.1</v>
      </c>
      <c r="D21" s="44">
        <v>13.1</v>
      </c>
      <c r="E21" s="44">
        <v>13.1</v>
      </c>
      <c r="F21" s="44">
        <v>0.0</v>
      </c>
      <c r="G21" s="44">
        <v>1.0</v>
      </c>
      <c r="H21" s="45">
        <v>0.0</v>
      </c>
      <c r="I21" s="45">
        <v>1.0</v>
      </c>
      <c r="J21" s="38">
        <v>13.1</v>
      </c>
      <c r="K21" s="37"/>
    </row>
    <row r="22">
      <c r="C22" s="37"/>
      <c r="H22" s="46"/>
      <c r="I22" s="46"/>
      <c r="J22" s="37"/>
      <c r="K22" s="37"/>
    </row>
    <row r="23">
      <c r="C23" s="37"/>
      <c r="H23" s="46"/>
      <c r="I23" s="46"/>
      <c r="J23" s="37"/>
      <c r="K23" s="37"/>
    </row>
    <row r="24">
      <c r="C24" s="37"/>
      <c r="H24" s="46"/>
      <c r="I24" s="46"/>
      <c r="J24" s="37"/>
      <c r="K24" s="37"/>
    </row>
    <row r="25">
      <c r="C25" s="37"/>
      <c r="H25" s="46"/>
      <c r="I25" s="46"/>
      <c r="J25" s="37"/>
      <c r="K25" s="37"/>
    </row>
    <row r="26">
      <c r="C26" s="37"/>
      <c r="H26" s="46"/>
      <c r="I26" s="46"/>
      <c r="J26" s="37"/>
      <c r="K26" s="37"/>
    </row>
    <row r="27">
      <c r="C27" s="37"/>
      <c r="H27" s="46"/>
      <c r="I27" s="46"/>
      <c r="J27" s="37"/>
      <c r="K27" s="37"/>
    </row>
    <row r="28">
      <c r="C28" s="37"/>
      <c r="H28" s="46"/>
      <c r="I28" s="46"/>
      <c r="J28" s="37"/>
      <c r="K28" s="37"/>
    </row>
    <row r="29">
      <c r="C29" s="37"/>
      <c r="H29" s="46"/>
      <c r="I29" s="46"/>
      <c r="J29" s="37"/>
      <c r="K29" s="37"/>
    </row>
    <row r="30">
      <c r="C30" s="37"/>
      <c r="H30" s="46"/>
      <c r="I30" s="46"/>
      <c r="J30" s="37"/>
      <c r="K30" s="37"/>
    </row>
    <row r="31">
      <c r="C31" s="37"/>
      <c r="H31" s="46"/>
      <c r="I31" s="46"/>
      <c r="J31" s="37"/>
      <c r="K31" s="37"/>
    </row>
    <row r="32">
      <c r="C32" s="37"/>
      <c r="H32" s="46"/>
      <c r="I32" s="46"/>
      <c r="J32" s="37"/>
      <c r="K32" s="37"/>
    </row>
    <row r="33">
      <c r="C33" s="37"/>
      <c r="H33" s="46"/>
      <c r="I33" s="46"/>
      <c r="J33" s="37"/>
      <c r="K33" s="37"/>
    </row>
    <row r="34">
      <c r="C34" s="37"/>
      <c r="H34" s="46"/>
      <c r="I34" s="46"/>
      <c r="J34" s="37"/>
      <c r="K34" s="37"/>
    </row>
    <row r="35">
      <c r="C35" s="37"/>
      <c r="H35" s="46"/>
      <c r="I35" s="46"/>
      <c r="J35" s="37"/>
      <c r="K35" s="37"/>
    </row>
    <row r="36">
      <c r="C36" s="37"/>
      <c r="H36" s="46"/>
      <c r="I36" s="46"/>
      <c r="J36" s="37"/>
      <c r="K36" s="37"/>
    </row>
    <row r="37">
      <c r="C37" s="37"/>
      <c r="H37" s="46"/>
      <c r="I37" s="46"/>
      <c r="J37" s="37"/>
      <c r="K37" s="37"/>
    </row>
    <row r="38">
      <c r="C38" s="37"/>
      <c r="H38" s="46"/>
      <c r="I38" s="46"/>
      <c r="J38" s="37"/>
      <c r="K38" s="37"/>
    </row>
    <row r="39">
      <c r="C39" s="37"/>
      <c r="H39" s="46"/>
      <c r="I39" s="46"/>
      <c r="J39" s="37"/>
      <c r="K39" s="37"/>
    </row>
    <row r="40">
      <c r="C40" s="37"/>
      <c r="H40" s="46"/>
      <c r="I40" s="46"/>
      <c r="J40" s="37"/>
      <c r="K40" s="37"/>
    </row>
    <row r="41">
      <c r="C41" s="37"/>
      <c r="H41" s="46"/>
      <c r="I41" s="46"/>
      <c r="J41" s="37"/>
      <c r="K41" s="37"/>
    </row>
    <row r="42">
      <c r="C42" s="37"/>
      <c r="H42" s="46"/>
      <c r="I42" s="46"/>
      <c r="J42" s="37"/>
      <c r="K42" s="37"/>
    </row>
    <row r="43">
      <c r="C43" s="37"/>
      <c r="H43" s="46"/>
      <c r="I43" s="46"/>
      <c r="J43" s="37"/>
      <c r="K43" s="37"/>
    </row>
    <row r="44">
      <c r="C44" s="37"/>
      <c r="H44" s="46"/>
      <c r="I44" s="46"/>
      <c r="J44" s="37"/>
      <c r="K44" s="37"/>
    </row>
    <row r="45">
      <c r="C45" s="37"/>
      <c r="H45" s="46"/>
      <c r="I45" s="46"/>
      <c r="J45" s="37"/>
      <c r="K45" s="37"/>
    </row>
    <row r="46">
      <c r="C46" s="37"/>
      <c r="H46" s="46"/>
      <c r="I46" s="46"/>
      <c r="J46" s="37"/>
      <c r="K46" s="37"/>
    </row>
    <row r="47">
      <c r="C47" s="37"/>
      <c r="H47" s="46"/>
      <c r="I47" s="46"/>
      <c r="J47" s="37"/>
      <c r="K47" s="37"/>
    </row>
    <row r="48">
      <c r="C48" s="37"/>
      <c r="H48" s="46"/>
      <c r="I48" s="46"/>
      <c r="J48" s="37"/>
      <c r="K48" s="37"/>
    </row>
    <row r="49">
      <c r="C49" s="37"/>
      <c r="H49" s="46"/>
      <c r="I49" s="46"/>
      <c r="J49" s="37"/>
      <c r="K49" s="37"/>
    </row>
    <row r="50">
      <c r="C50" s="37"/>
      <c r="H50" s="46"/>
      <c r="I50" s="46"/>
      <c r="J50" s="37"/>
      <c r="K50" s="37"/>
    </row>
    <row r="51">
      <c r="C51" s="37"/>
      <c r="H51" s="46"/>
      <c r="I51" s="46"/>
      <c r="J51" s="37"/>
      <c r="K51" s="37"/>
    </row>
    <row r="52">
      <c r="C52" s="37"/>
      <c r="H52" s="46"/>
      <c r="I52" s="46"/>
      <c r="J52" s="37"/>
      <c r="K52" s="37"/>
    </row>
    <row r="53">
      <c r="C53" s="37"/>
      <c r="H53" s="46"/>
      <c r="I53" s="46"/>
      <c r="J53" s="37"/>
      <c r="K53" s="37"/>
    </row>
    <row r="54">
      <c r="C54" s="37"/>
      <c r="H54" s="46"/>
      <c r="I54" s="46"/>
      <c r="J54" s="37"/>
      <c r="K54" s="37"/>
    </row>
    <row r="55">
      <c r="C55" s="37"/>
      <c r="H55" s="46"/>
      <c r="I55" s="46"/>
      <c r="J55" s="37"/>
      <c r="K55" s="37"/>
    </row>
    <row r="56">
      <c r="C56" s="37"/>
      <c r="H56" s="46"/>
      <c r="I56" s="46"/>
      <c r="J56" s="37"/>
      <c r="K56" s="37"/>
    </row>
    <row r="57">
      <c r="C57" s="37"/>
      <c r="H57" s="46"/>
      <c r="I57" s="46"/>
      <c r="J57" s="37"/>
      <c r="K57" s="37"/>
    </row>
    <row r="58">
      <c r="C58" s="37"/>
      <c r="H58" s="46"/>
      <c r="I58" s="46"/>
      <c r="J58" s="37"/>
      <c r="K58" s="37"/>
    </row>
    <row r="59">
      <c r="C59" s="37"/>
      <c r="H59" s="46"/>
      <c r="I59" s="46"/>
      <c r="J59" s="37"/>
      <c r="K59" s="37"/>
    </row>
    <row r="60">
      <c r="C60" s="37"/>
      <c r="H60" s="46"/>
      <c r="I60" s="46"/>
      <c r="J60" s="37"/>
      <c r="K60" s="37"/>
    </row>
    <row r="61">
      <c r="C61" s="37"/>
      <c r="H61" s="46"/>
      <c r="I61" s="46"/>
      <c r="J61" s="37"/>
      <c r="K61" s="37"/>
    </row>
    <row r="62">
      <c r="C62" s="37"/>
      <c r="H62" s="46"/>
      <c r="I62" s="46"/>
      <c r="J62" s="37"/>
      <c r="K62" s="37"/>
    </row>
    <row r="63">
      <c r="C63" s="37"/>
      <c r="H63" s="46"/>
      <c r="I63" s="46"/>
      <c r="J63" s="37"/>
      <c r="K63" s="37"/>
    </row>
    <row r="64">
      <c r="C64" s="37"/>
      <c r="H64" s="46"/>
      <c r="I64" s="46"/>
      <c r="J64" s="37"/>
      <c r="K64" s="37"/>
    </row>
    <row r="65">
      <c r="C65" s="37"/>
      <c r="H65" s="46"/>
      <c r="I65" s="46"/>
      <c r="J65" s="37"/>
      <c r="K65" s="37"/>
    </row>
    <row r="66">
      <c r="C66" s="37"/>
      <c r="H66" s="46"/>
      <c r="I66" s="46"/>
      <c r="J66" s="37"/>
      <c r="K66" s="37"/>
    </row>
    <row r="67">
      <c r="C67" s="37"/>
      <c r="H67" s="46"/>
      <c r="I67" s="46"/>
      <c r="J67" s="37"/>
      <c r="K67" s="37"/>
    </row>
    <row r="68">
      <c r="C68" s="37"/>
      <c r="H68" s="46"/>
      <c r="I68" s="46"/>
      <c r="J68" s="37"/>
      <c r="K68" s="37"/>
    </row>
    <row r="69">
      <c r="C69" s="37"/>
      <c r="H69" s="46"/>
      <c r="I69" s="46"/>
      <c r="J69" s="37"/>
      <c r="K69" s="37"/>
    </row>
    <row r="70">
      <c r="C70" s="37"/>
      <c r="H70" s="46"/>
      <c r="I70" s="46"/>
      <c r="J70" s="37"/>
      <c r="K70" s="37"/>
    </row>
    <row r="71">
      <c r="C71" s="37"/>
      <c r="H71" s="46"/>
      <c r="I71" s="46"/>
      <c r="J71" s="37"/>
      <c r="K71" s="37"/>
    </row>
    <row r="72">
      <c r="C72" s="37"/>
      <c r="H72" s="46"/>
      <c r="I72" s="46"/>
      <c r="J72" s="37"/>
      <c r="K72" s="37"/>
    </row>
    <row r="73">
      <c r="C73" s="37"/>
      <c r="H73" s="46"/>
      <c r="I73" s="46"/>
      <c r="J73" s="37"/>
      <c r="K73" s="37"/>
    </row>
    <row r="74">
      <c r="C74" s="37"/>
      <c r="H74" s="46"/>
      <c r="I74" s="46"/>
      <c r="J74" s="37"/>
      <c r="K74" s="37"/>
    </row>
    <row r="75">
      <c r="C75" s="37"/>
      <c r="H75" s="46"/>
      <c r="I75" s="46"/>
      <c r="J75" s="37"/>
      <c r="K75" s="37"/>
    </row>
    <row r="76">
      <c r="C76" s="37"/>
      <c r="H76" s="46"/>
      <c r="I76" s="46"/>
      <c r="J76" s="37"/>
      <c r="K76" s="37"/>
    </row>
    <row r="77">
      <c r="C77" s="37"/>
      <c r="H77" s="46"/>
      <c r="I77" s="46"/>
      <c r="J77" s="37"/>
      <c r="K77" s="37"/>
    </row>
    <row r="78">
      <c r="C78" s="37"/>
      <c r="H78" s="46"/>
      <c r="I78" s="46"/>
      <c r="J78" s="37"/>
      <c r="K78" s="37"/>
    </row>
    <row r="79">
      <c r="C79" s="37"/>
      <c r="H79" s="46"/>
      <c r="I79" s="46"/>
      <c r="J79" s="37"/>
      <c r="K79" s="37"/>
    </row>
    <row r="80">
      <c r="C80" s="37"/>
      <c r="H80" s="46"/>
      <c r="I80" s="46"/>
      <c r="J80" s="37"/>
      <c r="K80" s="37"/>
    </row>
    <row r="81">
      <c r="C81" s="37"/>
      <c r="H81" s="46"/>
      <c r="I81" s="46"/>
      <c r="J81" s="37"/>
      <c r="K81" s="37"/>
    </row>
    <row r="82">
      <c r="C82" s="37"/>
      <c r="H82" s="46"/>
      <c r="I82" s="46"/>
      <c r="J82" s="37"/>
      <c r="K82" s="37"/>
    </row>
    <row r="83">
      <c r="C83" s="37"/>
      <c r="H83" s="46"/>
      <c r="I83" s="46"/>
      <c r="J83" s="37"/>
      <c r="K83" s="37"/>
    </row>
    <row r="84">
      <c r="C84" s="37"/>
      <c r="H84" s="46"/>
      <c r="I84" s="46"/>
      <c r="J84" s="37"/>
      <c r="K84" s="37"/>
    </row>
    <row r="85">
      <c r="C85" s="37"/>
      <c r="H85" s="46"/>
      <c r="I85" s="46"/>
      <c r="J85" s="37"/>
      <c r="K85" s="37"/>
    </row>
    <row r="86">
      <c r="C86" s="37"/>
      <c r="H86" s="46"/>
      <c r="I86" s="46"/>
      <c r="J86" s="37"/>
      <c r="K86" s="37"/>
    </row>
    <row r="87">
      <c r="C87" s="37"/>
      <c r="H87" s="46"/>
      <c r="I87" s="46"/>
      <c r="J87" s="37"/>
      <c r="K87" s="37"/>
    </row>
    <row r="88">
      <c r="C88" s="37"/>
      <c r="H88" s="46"/>
      <c r="I88" s="46"/>
      <c r="J88" s="37"/>
      <c r="K88" s="37"/>
    </row>
    <row r="89">
      <c r="C89" s="37"/>
      <c r="H89" s="46"/>
      <c r="I89" s="46"/>
      <c r="J89" s="37"/>
      <c r="K89" s="37"/>
    </row>
    <row r="90">
      <c r="C90" s="37"/>
      <c r="H90" s="46"/>
      <c r="I90" s="46"/>
      <c r="J90" s="37"/>
      <c r="K90" s="37"/>
    </row>
    <row r="91">
      <c r="C91" s="37"/>
      <c r="H91" s="46"/>
      <c r="I91" s="46"/>
      <c r="J91" s="37"/>
      <c r="K91" s="37"/>
    </row>
    <row r="92">
      <c r="C92" s="37"/>
      <c r="H92" s="46"/>
      <c r="I92" s="46"/>
      <c r="J92" s="37"/>
      <c r="K92" s="37"/>
    </row>
    <row r="93">
      <c r="C93" s="37"/>
      <c r="H93" s="46"/>
      <c r="I93" s="46"/>
      <c r="J93" s="37"/>
      <c r="K93" s="37"/>
    </row>
    <row r="94">
      <c r="C94" s="37"/>
      <c r="H94" s="46"/>
      <c r="I94" s="46"/>
      <c r="J94" s="37"/>
      <c r="K94" s="37"/>
    </row>
    <row r="95">
      <c r="C95" s="37"/>
      <c r="H95" s="46"/>
      <c r="I95" s="46"/>
      <c r="J95" s="37"/>
      <c r="K95" s="37"/>
    </row>
    <row r="96">
      <c r="C96" s="37"/>
      <c r="H96" s="46"/>
      <c r="I96" s="46"/>
      <c r="J96" s="37"/>
      <c r="K96" s="37"/>
    </row>
    <row r="97">
      <c r="C97" s="37"/>
      <c r="H97" s="46"/>
      <c r="I97" s="46"/>
      <c r="J97" s="37"/>
      <c r="K97" s="37"/>
    </row>
    <row r="98">
      <c r="C98" s="37"/>
      <c r="H98" s="46"/>
      <c r="I98" s="46"/>
      <c r="J98" s="37"/>
      <c r="K98" s="37"/>
    </row>
    <row r="99">
      <c r="C99" s="37"/>
      <c r="H99" s="46"/>
      <c r="I99" s="46"/>
      <c r="J99" s="37"/>
      <c r="K99" s="37"/>
    </row>
    <row r="100">
      <c r="C100" s="37"/>
      <c r="H100" s="46"/>
      <c r="I100" s="46"/>
      <c r="J100" s="37"/>
      <c r="K100" s="37"/>
    </row>
    <row r="101">
      <c r="C101" s="37"/>
      <c r="H101" s="46"/>
      <c r="I101" s="46"/>
      <c r="J101" s="37"/>
      <c r="K101" s="37"/>
    </row>
    <row r="102">
      <c r="C102" s="37"/>
      <c r="H102" s="46"/>
      <c r="I102" s="46"/>
      <c r="J102" s="37"/>
      <c r="K102" s="37"/>
    </row>
    <row r="103">
      <c r="C103" s="37"/>
      <c r="H103" s="46"/>
      <c r="I103" s="46"/>
      <c r="J103" s="37"/>
      <c r="K103" s="37"/>
    </row>
    <row r="104">
      <c r="C104" s="37"/>
      <c r="H104" s="46"/>
      <c r="I104" s="46"/>
      <c r="J104" s="37"/>
      <c r="K104" s="37"/>
    </row>
    <row r="105">
      <c r="C105" s="37"/>
      <c r="H105" s="46"/>
      <c r="I105" s="46"/>
      <c r="J105" s="37"/>
      <c r="K105" s="37"/>
    </row>
    <row r="106">
      <c r="C106" s="37"/>
      <c r="H106" s="46"/>
      <c r="I106" s="46"/>
      <c r="J106" s="37"/>
      <c r="K106" s="37"/>
    </row>
    <row r="107">
      <c r="C107" s="37"/>
      <c r="H107" s="46"/>
      <c r="I107" s="46"/>
      <c r="J107" s="37"/>
      <c r="K107" s="37"/>
    </row>
    <row r="108">
      <c r="C108" s="37"/>
      <c r="H108" s="46"/>
      <c r="I108" s="46"/>
      <c r="J108" s="37"/>
      <c r="K108" s="37"/>
    </row>
    <row r="109">
      <c r="C109" s="37"/>
      <c r="H109" s="46"/>
      <c r="I109" s="46"/>
      <c r="J109" s="37"/>
      <c r="K109" s="37"/>
    </row>
    <row r="110">
      <c r="C110" s="37"/>
      <c r="H110" s="46"/>
      <c r="I110" s="46"/>
      <c r="J110" s="37"/>
      <c r="K110" s="37"/>
    </row>
    <row r="111">
      <c r="C111" s="37"/>
      <c r="H111" s="46"/>
      <c r="I111" s="46"/>
      <c r="J111" s="37"/>
      <c r="K111" s="37"/>
    </row>
    <row r="112">
      <c r="C112" s="37"/>
      <c r="H112" s="46"/>
      <c r="I112" s="46"/>
      <c r="J112" s="37"/>
      <c r="K112" s="37"/>
    </row>
    <row r="113">
      <c r="C113" s="37"/>
      <c r="H113" s="46"/>
      <c r="I113" s="46"/>
      <c r="J113" s="37"/>
      <c r="K113" s="37"/>
    </row>
    <row r="114">
      <c r="C114" s="37"/>
      <c r="H114" s="46"/>
      <c r="I114" s="46"/>
      <c r="J114" s="37"/>
      <c r="K114" s="37"/>
    </row>
    <row r="115">
      <c r="C115" s="37"/>
      <c r="H115" s="46"/>
      <c r="I115" s="46"/>
      <c r="J115" s="37"/>
      <c r="K115" s="37"/>
    </row>
    <row r="116">
      <c r="C116" s="37"/>
      <c r="H116" s="46"/>
      <c r="I116" s="46"/>
      <c r="J116" s="37"/>
      <c r="K116" s="37"/>
    </row>
    <row r="117">
      <c r="C117" s="37"/>
      <c r="H117" s="46"/>
      <c r="I117" s="46"/>
      <c r="J117" s="37"/>
      <c r="K117" s="37"/>
    </row>
    <row r="118">
      <c r="C118" s="37"/>
      <c r="H118" s="46"/>
      <c r="I118" s="46"/>
      <c r="J118" s="37"/>
      <c r="K118" s="37"/>
    </row>
    <row r="119">
      <c r="C119" s="37"/>
      <c r="H119" s="46"/>
      <c r="I119" s="46"/>
      <c r="J119" s="37"/>
      <c r="K119" s="37"/>
    </row>
    <row r="120">
      <c r="C120" s="37"/>
      <c r="H120" s="46"/>
      <c r="I120" s="46"/>
      <c r="J120" s="37"/>
      <c r="K120" s="37"/>
    </row>
    <row r="121">
      <c r="C121" s="37"/>
      <c r="H121" s="46"/>
      <c r="I121" s="46"/>
      <c r="J121" s="37"/>
      <c r="K121" s="37"/>
    </row>
    <row r="122">
      <c r="C122" s="37"/>
      <c r="H122" s="46"/>
      <c r="I122" s="46"/>
      <c r="J122" s="37"/>
      <c r="K122" s="37"/>
    </row>
    <row r="123">
      <c r="C123" s="37"/>
      <c r="H123" s="46"/>
      <c r="I123" s="46"/>
      <c r="J123" s="37"/>
      <c r="K123" s="37"/>
    </row>
    <row r="124">
      <c r="C124" s="37"/>
      <c r="H124" s="46"/>
      <c r="I124" s="46"/>
      <c r="J124" s="37"/>
      <c r="K124" s="37"/>
    </row>
    <row r="125">
      <c r="C125" s="37"/>
      <c r="H125" s="46"/>
      <c r="I125" s="46"/>
      <c r="J125" s="37"/>
      <c r="K125" s="37"/>
    </row>
    <row r="126">
      <c r="C126" s="37"/>
      <c r="H126" s="46"/>
      <c r="I126" s="46"/>
      <c r="J126" s="37"/>
      <c r="K126" s="37"/>
    </row>
    <row r="127">
      <c r="C127" s="37"/>
      <c r="H127" s="46"/>
      <c r="I127" s="46"/>
      <c r="J127" s="37"/>
      <c r="K127" s="37"/>
    </row>
    <row r="128">
      <c r="C128" s="37"/>
      <c r="H128" s="46"/>
      <c r="I128" s="46"/>
      <c r="J128" s="37"/>
      <c r="K128" s="37"/>
    </row>
    <row r="129">
      <c r="C129" s="37"/>
      <c r="H129" s="46"/>
      <c r="I129" s="46"/>
      <c r="J129" s="37"/>
      <c r="K129" s="37"/>
    </row>
    <row r="130">
      <c r="C130" s="37"/>
      <c r="H130" s="46"/>
      <c r="I130" s="46"/>
      <c r="J130" s="37"/>
      <c r="K130" s="37"/>
    </row>
    <row r="131">
      <c r="C131" s="37"/>
      <c r="H131" s="46"/>
      <c r="I131" s="46"/>
      <c r="J131" s="37"/>
      <c r="K131" s="37"/>
    </row>
    <row r="132">
      <c r="C132" s="37"/>
      <c r="H132" s="46"/>
      <c r="I132" s="46"/>
      <c r="J132" s="37"/>
      <c r="K132" s="37"/>
    </row>
    <row r="133">
      <c r="C133" s="37"/>
      <c r="H133" s="46"/>
      <c r="I133" s="46"/>
      <c r="J133" s="37"/>
      <c r="K133" s="37"/>
    </row>
    <row r="134">
      <c r="C134" s="37"/>
      <c r="H134" s="46"/>
      <c r="I134" s="46"/>
      <c r="J134" s="37"/>
      <c r="K134" s="37"/>
    </row>
    <row r="135">
      <c r="C135" s="37"/>
      <c r="H135" s="46"/>
      <c r="I135" s="46"/>
      <c r="J135" s="37"/>
      <c r="K135" s="37"/>
    </row>
    <row r="136">
      <c r="C136" s="37"/>
      <c r="H136" s="46"/>
      <c r="I136" s="46"/>
      <c r="J136" s="37"/>
      <c r="K136" s="37"/>
    </row>
    <row r="137">
      <c r="C137" s="37"/>
      <c r="H137" s="46"/>
      <c r="I137" s="46"/>
      <c r="J137" s="37"/>
      <c r="K137" s="37"/>
    </row>
    <row r="138">
      <c r="C138" s="37"/>
      <c r="H138" s="46"/>
      <c r="I138" s="46"/>
      <c r="J138" s="37"/>
      <c r="K138" s="37"/>
    </row>
    <row r="139">
      <c r="C139" s="37"/>
      <c r="H139" s="46"/>
      <c r="I139" s="46"/>
      <c r="J139" s="37"/>
      <c r="K139" s="37"/>
    </row>
    <row r="140">
      <c r="C140" s="37"/>
      <c r="H140" s="46"/>
      <c r="I140" s="46"/>
      <c r="J140" s="37"/>
      <c r="K140" s="37"/>
    </row>
    <row r="141">
      <c r="C141" s="37"/>
      <c r="H141" s="46"/>
      <c r="I141" s="46"/>
      <c r="J141" s="37"/>
      <c r="K141" s="37"/>
    </row>
    <row r="142">
      <c r="C142" s="37"/>
      <c r="H142" s="46"/>
      <c r="I142" s="46"/>
      <c r="J142" s="37"/>
      <c r="K142" s="37"/>
    </row>
    <row r="143">
      <c r="C143" s="37"/>
      <c r="H143" s="46"/>
      <c r="I143" s="46"/>
      <c r="J143" s="37"/>
      <c r="K143" s="37"/>
    </row>
    <row r="144">
      <c r="C144" s="37"/>
      <c r="H144" s="46"/>
      <c r="I144" s="46"/>
      <c r="J144" s="37"/>
      <c r="K144" s="37"/>
    </row>
    <row r="145">
      <c r="C145" s="37"/>
      <c r="H145" s="46"/>
      <c r="I145" s="46"/>
      <c r="J145" s="37"/>
      <c r="K145" s="37"/>
    </row>
    <row r="146">
      <c r="C146" s="37"/>
      <c r="H146" s="46"/>
      <c r="I146" s="46"/>
      <c r="J146" s="37"/>
      <c r="K146" s="37"/>
    </row>
    <row r="147">
      <c r="C147" s="37"/>
      <c r="H147" s="46"/>
      <c r="I147" s="46"/>
      <c r="J147" s="37"/>
      <c r="K147" s="37"/>
    </row>
    <row r="148">
      <c r="C148" s="37"/>
      <c r="H148" s="46"/>
      <c r="I148" s="46"/>
      <c r="J148" s="37"/>
      <c r="K148" s="37"/>
    </row>
    <row r="149">
      <c r="C149" s="37"/>
      <c r="H149" s="46"/>
      <c r="I149" s="46"/>
      <c r="J149" s="37"/>
      <c r="K149" s="37"/>
    </row>
    <row r="150">
      <c r="C150" s="37"/>
      <c r="H150" s="46"/>
      <c r="I150" s="46"/>
      <c r="J150" s="37"/>
      <c r="K150" s="37"/>
    </row>
    <row r="151">
      <c r="C151" s="37"/>
      <c r="H151" s="46"/>
      <c r="I151" s="46"/>
      <c r="J151" s="37"/>
      <c r="K151" s="37"/>
    </row>
    <row r="152">
      <c r="C152" s="37"/>
      <c r="H152" s="46"/>
      <c r="I152" s="46"/>
      <c r="J152" s="37"/>
      <c r="K152" s="37"/>
    </row>
    <row r="153">
      <c r="C153" s="37"/>
      <c r="H153" s="46"/>
      <c r="I153" s="46"/>
      <c r="J153" s="37"/>
      <c r="K153" s="37"/>
    </row>
    <row r="154">
      <c r="C154" s="37"/>
      <c r="H154" s="46"/>
      <c r="I154" s="46"/>
      <c r="J154" s="37"/>
      <c r="K154" s="37"/>
    </row>
    <row r="155">
      <c r="C155" s="37"/>
      <c r="H155" s="46"/>
      <c r="I155" s="46"/>
      <c r="J155" s="37"/>
      <c r="K155" s="37"/>
    </row>
    <row r="156">
      <c r="C156" s="37"/>
      <c r="H156" s="46"/>
      <c r="I156" s="46"/>
      <c r="J156" s="37"/>
      <c r="K156" s="37"/>
    </row>
    <row r="157">
      <c r="C157" s="37"/>
      <c r="H157" s="46"/>
      <c r="I157" s="46"/>
      <c r="J157" s="37"/>
      <c r="K157" s="37"/>
    </row>
    <row r="158">
      <c r="C158" s="37"/>
      <c r="H158" s="46"/>
      <c r="I158" s="46"/>
      <c r="J158" s="37"/>
      <c r="K158" s="37"/>
    </row>
    <row r="159">
      <c r="C159" s="37"/>
      <c r="H159" s="46"/>
      <c r="I159" s="46"/>
      <c r="J159" s="37"/>
      <c r="K159" s="37"/>
    </row>
    <row r="160">
      <c r="C160" s="37"/>
      <c r="H160" s="46"/>
      <c r="I160" s="46"/>
      <c r="J160" s="37"/>
      <c r="K160" s="37"/>
    </row>
    <row r="161">
      <c r="C161" s="37"/>
      <c r="H161" s="46"/>
      <c r="I161" s="46"/>
      <c r="J161" s="37"/>
      <c r="K161" s="37"/>
    </row>
    <row r="162">
      <c r="C162" s="37"/>
      <c r="H162" s="46"/>
      <c r="I162" s="46"/>
      <c r="J162" s="37"/>
      <c r="K162" s="37"/>
    </row>
    <row r="163">
      <c r="C163" s="37"/>
      <c r="H163" s="46"/>
      <c r="I163" s="46"/>
      <c r="J163" s="37"/>
      <c r="K163" s="37"/>
    </row>
    <row r="164">
      <c r="C164" s="37"/>
      <c r="H164" s="46"/>
      <c r="I164" s="46"/>
      <c r="J164" s="37"/>
      <c r="K164" s="37"/>
    </row>
    <row r="165">
      <c r="C165" s="37"/>
      <c r="H165" s="46"/>
      <c r="I165" s="46"/>
      <c r="J165" s="37"/>
      <c r="K165" s="37"/>
    </row>
    <row r="166">
      <c r="C166" s="37"/>
      <c r="H166" s="46"/>
      <c r="I166" s="46"/>
      <c r="J166" s="37"/>
      <c r="K166" s="37"/>
    </row>
    <row r="167">
      <c r="C167" s="37"/>
      <c r="H167" s="46"/>
      <c r="I167" s="46"/>
      <c r="J167" s="37"/>
      <c r="K167" s="37"/>
    </row>
    <row r="168">
      <c r="C168" s="37"/>
      <c r="H168" s="46"/>
      <c r="I168" s="46"/>
      <c r="J168" s="37"/>
      <c r="K168" s="37"/>
    </row>
    <row r="169">
      <c r="C169" s="37"/>
      <c r="H169" s="46"/>
      <c r="I169" s="46"/>
      <c r="J169" s="37"/>
      <c r="K169" s="37"/>
    </row>
    <row r="170">
      <c r="C170" s="37"/>
      <c r="H170" s="46"/>
      <c r="I170" s="46"/>
      <c r="J170" s="37"/>
      <c r="K170" s="37"/>
    </row>
    <row r="171">
      <c r="C171" s="37"/>
      <c r="H171" s="46"/>
      <c r="I171" s="46"/>
      <c r="J171" s="37"/>
      <c r="K171" s="37"/>
    </row>
    <row r="172">
      <c r="C172" s="37"/>
      <c r="H172" s="46"/>
      <c r="I172" s="46"/>
      <c r="J172" s="37"/>
      <c r="K172" s="37"/>
    </row>
    <row r="173">
      <c r="C173" s="37"/>
      <c r="H173" s="46"/>
      <c r="I173" s="46"/>
      <c r="J173" s="37"/>
      <c r="K173" s="37"/>
    </row>
    <row r="174">
      <c r="C174" s="37"/>
      <c r="H174" s="46"/>
      <c r="I174" s="46"/>
      <c r="J174" s="37"/>
      <c r="K174" s="37"/>
    </row>
    <row r="175">
      <c r="C175" s="37"/>
      <c r="H175" s="46"/>
      <c r="I175" s="46"/>
      <c r="J175" s="37"/>
      <c r="K175" s="37"/>
    </row>
    <row r="176">
      <c r="C176" s="37"/>
      <c r="H176" s="46"/>
      <c r="I176" s="46"/>
      <c r="J176" s="37"/>
      <c r="K176" s="37"/>
    </row>
    <row r="177">
      <c r="C177" s="37"/>
      <c r="H177" s="46"/>
      <c r="I177" s="46"/>
      <c r="J177" s="37"/>
      <c r="K177" s="37"/>
    </row>
    <row r="178">
      <c r="C178" s="37"/>
      <c r="H178" s="46"/>
      <c r="I178" s="46"/>
      <c r="J178" s="37"/>
      <c r="K178" s="37"/>
    </row>
    <row r="179">
      <c r="C179" s="37"/>
      <c r="H179" s="46"/>
      <c r="I179" s="46"/>
      <c r="J179" s="37"/>
      <c r="K179" s="37"/>
    </row>
    <row r="180">
      <c r="C180" s="37"/>
      <c r="H180" s="46"/>
      <c r="I180" s="46"/>
      <c r="J180" s="37"/>
      <c r="K180" s="37"/>
    </row>
    <row r="181">
      <c r="C181" s="37"/>
      <c r="H181" s="46"/>
      <c r="I181" s="46"/>
      <c r="J181" s="37"/>
      <c r="K181" s="37"/>
    </row>
    <row r="182">
      <c r="C182" s="37"/>
      <c r="H182" s="46"/>
      <c r="I182" s="46"/>
      <c r="J182" s="37"/>
      <c r="K182" s="37"/>
    </row>
    <row r="183">
      <c r="C183" s="37"/>
      <c r="H183" s="46"/>
      <c r="I183" s="46"/>
      <c r="J183" s="37"/>
      <c r="K183" s="37"/>
    </row>
    <row r="184">
      <c r="C184" s="37"/>
      <c r="H184" s="46"/>
      <c r="I184" s="46"/>
      <c r="J184" s="37"/>
      <c r="K184" s="37"/>
    </row>
    <row r="185">
      <c r="C185" s="37"/>
      <c r="H185" s="46"/>
      <c r="I185" s="46"/>
      <c r="J185" s="37"/>
      <c r="K185" s="37"/>
    </row>
    <row r="186">
      <c r="C186" s="37"/>
      <c r="H186" s="46"/>
      <c r="I186" s="46"/>
      <c r="J186" s="37"/>
      <c r="K186" s="37"/>
    </row>
    <row r="187">
      <c r="C187" s="37"/>
      <c r="H187" s="46"/>
      <c r="I187" s="46"/>
      <c r="J187" s="37"/>
      <c r="K187" s="37"/>
    </row>
    <row r="188">
      <c r="C188" s="37"/>
      <c r="H188" s="46"/>
      <c r="I188" s="46"/>
      <c r="J188" s="37"/>
      <c r="K188" s="37"/>
    </row>
    <row r="189">
      <c r="C189" s="37"/>
      <c r="H189" s="46"/>
      <c r="I189" s="46"/>
      <c r="J189" s="37"/>
      <c r="K189" s="37"/>
    </row>
    <row r="190">
      <c r="C190" s="37"/>
      <c r="H190" s="46"/>
      <c r="I190" s="46"/>
      <c r="J190" s="37"/>
      <c r="K190" s="37"/>
    </row>
    <row r="191">
      <c r="C191" s="37"/>
      <c r="H191" s="46"/>
      <c r="I191" s="46"/>
      <c r="J191" s="37"/>
      <c r="K191" s="37"/>
    </row>
    <row r="192">
      <c r="C192" s="37"/>
      <c r="H192" s="46"/>
      <c r="I192" s="46"/>
      <c r="J192" s="37"/>
      <c r="K192" s="37"/>
    </row>
    <row r="193">
      <c r="C193" s="37"/>
      <c r="H193" s="46"/>
      <c r="I193" s="46"/>
      <c r="J193" s="37"/>
      <c r="K193" s="37"/>
    </row>
    <row r="194">
      <c r="C194" s="37"/>
      <c r="H194" s="46"/>
      <c r="I194" s="46"/>
      <c r="J194" s="37"/>
      <c r="K194" s="37"/>
    </row>
    <row r="195">
      <c r="C195" s="37"/>
      <c r="H195" s="46"/>
      <c r="I195" s="46"/>
      <c r="J195" s="37"/>
      <c r="K195" s="37"/>
    </row>
    <row r="196">
      <c r="C196" s="37"/>
      <c r="H196" s="46"/>
      <c r="I196" s="46"/>
      <c r="J196" s="37"/>
      <c r="K196" s="37"/>
    </row>
    <row r="197">
      <c r="C197" s="37"/>
      <c r="H197" s="46"/>
      <c r="I197" s="46"/>
      <c r="J197" s="37"/>
      <c r="K197" s="37"/>
    </row>
    <row r="198">
      <c r="C198" s="37"/>
      <c r="H198" s="46"/>
      <c r="I198" s="46"/>
      <c r="J198" s="37"/>
      <c r="K198" s="37"/>
    </row>
    <row r="199">
      <c r="C199" s="37"/>
      <c r="H199" s="46"/>
      <c r="I199" s="46"/>
      <c r="J199" s="37"/>
      <c r="K199" s="37"/>
    </row>
    <row r="200">
      <c r="C200" s="37"/>
      <c r="H200" s="46"/>
      <c r="I200" s="46"/>
      <c r="J200" s="37"/>
      <c r="K200" s="37"/>
    </row>
    <row r="201">
      <c r="C201" s="37"/>
      <c r="H201" s="46"/>
      <c r="I201" s="46"/>
      <c r="J201" s="37"/>
      <c r="K201" s="37"/>
    </row>
    <row r="202">
      <c r="C202" s="37"/>
      <c r="H202" s="46"/>
      <c r="I202" s="46"/>
      <c r="J202" s="37"/>
      <c r="K202" s="37"/>
    </row>
    <row r="203">
      <c r="C203" s="37"/>
      <c r="H203" s="46"/>
      <c r="I203" s="46"/>
      <c r="J203" s="37"/>
      <c r="K203" s="37"/>
    </row>
    <row r="204">
      <c r="C204" s="37"/>
      <c r="H204" s="46"/>
      <c r="I204" s="46"/>
      <c r="J204" s="37"/>
      <c r="K204" s="37"/>
    </row>
    <row r="205">
      <c r="C205" s="37"/>
      <c r="H205" s="46"/>
      <c r="I205" s="46"/>
      <c r="J205" s="37"/>
      <c r="K205" s="37"/>
    </row>
    <row r="206">
      <c r="C206" s="37"/>
      <c r="H206" s="46"/>
      <c r="I206" s="46"/>
      <c r="J206" s="37"/>
      <c r="K206" s="37"/>
    </row>
    <row r="207">
      <c r="C207" s="37"/>
      <c r="H207" s="46"/>
      <c r="I207" s="46"/>
      <c r="J207" s="37"/>
      <c r="K207" s="37"/>
    </row>
    <row r="208">
      <c r="C208" s="37"/>
      <c r="H208" s="46"/>
      <c r="I208" s="46"/>
      <c r="J208" s="37"/>
      <c r="K208" s="37"/>
    </row>
    <row r="209">
      <c r="C209" s="37"/>
      <c r="H209" s="46"/>
      <c r="I209" s="46"/>
      <c r="J209" s="37"/>
      <c r="K209" s="37"/>
    </row>
    <row r="210">
      <c r="C210" s="37"/>
      <c r="H210" s="46"/>
      <c r="I210" s="46"/>
      <c r="J210" s="37"/>
      <c r="K210" s="37"/>
    </row>
    <row r="211">
      <c r="C211" s="37"/>
      <c r="H211" s="46"/>
      <c r="I211" s="46"/>
      <c r="J211" s="37"/>
      <c r="K211" s="37"/>
    </row>
    <row r="212">
      <c r="C212" s="37"/>
      <c r="H212" s="46"/>
      <c r="I212" s="46"/>
      <c r="J212" s="37"/>
      <c r="K212" s="37"/>
    </row>
    <row r="213">
      <c r="C213" s="37"/>
      <c r="H213" s="46"/>
      <c r="I213" s="46"/>
      <c r="J213" s="37"/>
      <c r="K213" s="37"/>
    </row>
    <row r="214">
      <c r="C214" s="37"/>
      <c r="H214" s="46"/>
      <c r="I214" s="46"/>
      <c r="J214" s="37"/>
      <c r="K214" s="37"/>
    </row>
    <row r="215">
      <c r="C215" s="37"/>
      <c r="H215" s="46"/>
      <c r="I215" s="46"/>
      <c r="J215" s="37"/>
      <c r="K215" s="37"/>
    </row>
    <row r="216">
      <c r="C216" s="37"/>
      <c r="H216" s="46"/>
      <c r="I216" s="46"/>
      <c r="J216" s="37"/>
      <c r="K216" s="37"/>
    </row>
    <row r="217">
      <c r="C217" s="37"/>
      <c r="H217" s="46"/>
      <c r="I217" s="46"/>
      <c r="J217" s="37"/>
      <c r="K217" s="37"/>
    </row>
    <row r="218">
      <c r="C218" s="37"/>
      <c r="H218" s="46"/>
      <c r="I218" s="46"/>
      <c r="J218" s="37"/>
      <c r="K218" s="37"/>
    </row>
    <row r="219">
      <c r="C219" s="37"/>
      <c r="H219" s="46"/>
      <c r="I219" s="46"/>
      <c r="J219" s="37"/>
      <c r="K219" s="37"/>
    </row>
    <row r="220">
      <c r="C220" s="37"/>
      <c r="H220" s="46"/>
      <c r="I220" s="46"/>
      <c r="J220" s="37"/>
      <c r="K220" s="37"/>
    </row>
    <row r="221">
      <c r="C221" s="37"/>
      <c r="H221" s="46"/>
      <c r="I221" s="46"/>
      <c r="J221" s="37"/>
      <c r="K221" s="37"/>
    </row>
    <row r="222">
      <c r="C222" s="37"/>
      <c r="H222" s="46"/>
      <c r="I222" s="46"/>
      <c r="J222" s="37"/>
      <c r="K222" s="37"/>
    </row>
    <row r="223">
      <c r="C223" s="37"/>
      <c r="H223" s="46"/>
      <c r="I223" s="46"/>
      <c r="J223" s="37"/>
      <c r="K223" s="37"/>
    </row>
    <row r="224">
      <c r="C224" s="37"/>
      <c r="H224" s="46"/>
      <c r="I224" s="46"/>
      <c r="J224" s="37"/>
      <c r="K224" s="37"/>
    </row>
    <row r="225">
      <c r="C225" s="37"/>
      <c r="H225" s="46"/>
      <c r="I225" s="46"/>
      <c r="J225" s="37"/>
      <c r="K225" s="37"/>
    </row>
    <row r="226">
      <c r="C226" s="37"/>
      <c r="H226" s="46"/>
      <c r="I226" s="46"/>
      <c r="J226" s="37"/>
      <c r="K226" s="37"/>
    </row>
    <row r="227">
      <c r="C227" s="37"/>
      <c r="H227" s="46"/>
      <c r="I227" s="46"/>
      <c r="J227" s="37"/>
      <c r="K227" s="37"/>
    </row>
    <row r="228">
      <c r="C228" s="37"/>
      <c r="H228" s="46"/>
      <c r="I228" s="46"/>
      <c r="J228" s="37"/>
      <c r="K228" s="37"/>
    </row>
    <row r="229">
      <c r="C229" s="37"/>
      <c r="H229" s="46"/>
      <c r="I229" s="46"/>
      <c r="J229" s="37"/>
      <c r="K229" s="37"/>
    </row>
    <row r="230">
      <c r="C230" s="37"/>
      <c r="H230" s="46"/>
      <c r="I230" s="46"/>
      <c r="J230" s="37"/>
      <c r="K230" s="37"/>
    </row>
    <row r="231">
      <c r="C231" s="37"/>
      <c r="H231" s="46"/>
      <c r="I231" s="46"/>
      <c r="J231" s="37"/>
      <c r="K231" s="37"/>
    </row>
    <row r="232">
      <c r="C232" s="37"/>
      <c r="H232" s="46"/>
      <c r="I232" s="46"/>
      <c r="J232" s="37"/>
      <c r="K232" s="37"/>
    </row>
    <row r="233">
      <c r="C233" s="37"/>
      <c r="H233" s="46"/>
      <c r="I233" s="46"/>
      <c r="J233" s="37"/>
      <c r="K233" s="37"/>
    </row>
    <row r="234">
      <c r="C234" s="37"/>
      <c r="H234" s="46"/>
      <c r="I234" s="46"/>
      <c r="J234" s="37"/>
      <c r="K234" s="37"/>
    </row>
    <row r="235">
      <c r="C235" s="37"/>
      <c r="H235" s="46"/>
      <c r="I235" s="46"/>
      <c r="J235" s="37"/>
      <c r="K235" s="37"/>
    </row>
    <row r="236">
      <c r="C236" s="37"/>
      <c r="H236" s="46"/>
      <c r="I236" s="46"/>
      <c r="J236" s="37"/>
      <c r="K236" s="37"/>
    </row>
    <row r="237">
      <c r="C237" s="37"/>
      <c r="H237" s="46"/>
      <c r="I237" s="46"/>
      <c r="J237" s="37"/>
      <c r="K237" s="37"/>
    </row>
    <row r="238">
      <c r="C238" s="37"/>
      <c r="H238" s="46"/>
      <c r="I238" s="46"/>
      <c r="J238" s="37"/>
      <c r="K238" s="37"/>
    </row>
    <row r="239">
      <c r="C239" s="37"/>
      <c r="H239" s="46"/>
      <c r="I239" s="46"/>
      <c r="J239" s="37"/>
      <c r="K239" s="37"/>
    </row>
    <row r="240">
      <c r="C240" s="37"/>
      <c r="H240" s="46"/>
      <c r="I240" s="46"/>
      <c r="J240" s="37"/>
      <c r="K240" s="37"/>
    </row>
    <row r="241">
      <c r="C241" s="37"/>
      <c r="H241" s="46"/>
      <c r="I241" s="46"/>
      <c r="J241" s="37"/>
      <c r="K241" s="37"/>
    </row>
    <row r="242">
      <c r="C242" s="37"/>
      <c r="H242" s="46"/>
      <c r="I242" s="46"/>
      <c r="J242" s="37"/>
      <c r="K242" s="37"/>
    </row>
    <row r="243">
      <c r="C243" s="37"/>
      <c r="H243" s="46"/>
      <c r="I243" s="46"/>
      <c r="J243" s="37"/>
      <c r="K243" s="37"/>
    </row>
    <row r="244">
      <c r="C244" s="37"/>
      <c r="H244" s="46"/>
      <c r="I244" s="46"/>
      <c r="J244" s="37"/>
      <c r="K244" s="37"/>
    </row>
    <row r="245">
      <c r="C245" s="37"/>
      <c r="H245" s="46"/>
      <c r="I245" s="46"/>
      <c r="J245" s="37"/>
      <c r="K245" s="37"/>
    </row>
    <row r="246">
      <c r="C246" s="37"/>
      <c r="H246" s="46"/>
      <c r="I246" s="46"/>
      <c r="J246" s="37"/>
      <c r="K246" s="37"/>
    </row>
    <row r="247">
      <c r="C247" s="37"/>
      <c r="H247" s="46"/>
      <c r="I247" s="46"/>
      <c r="J247" s="37"/>
      <c r="K247" s="37"/>
    </row>
    <row r="248">
      <c r="C248" s="37"/>
      <c r="H248" s="46"/>
      <c r="I248" s="46"/>
      <c r="J248" s="37"/>
      <c r="K248" s="37"/>
    </row>
    <row r="249">
      <c r="C249" s="37"/>
      <c r="H249" s="46"/>
      <c r="I249" s="46"/>
      <c r="J249" s="37"/>
      <c r="K249" s="37"/>
    </row>
    <row r="250">
      <c r="C250" s="37"/>
      <c r="H250" s="46"/>
      <c r="I250" s="46"/>
      <c r="J250" s="37"/>
      <c r="K250" s="37"/>
    </row>
    <row r="251">
      <c r="C251" s="37"/>
      <c r="H251" s="46"/>
      <c r="I251" s="46"/>
      <c r="J251" s="37"/>
      <c r="K251" s="37"/>
    </row>
    <row r="252">
      <c r="C252" s="37"/>
      <c r="H252" s="46"/>
      <c r="I252" s="46"/>
      <c r="J252" s="37"/>
      <c r="K252" s="37"/>
    </row>
    <row r="253">
      <c r="C253" s="37"/>
      <c r="H253" s="46"/>
      <c r="I253" s="46"/>
      <c r="J253" s="37"/>
      <c r="K253" s="37"/>
    </row>
    <row r="254">
      <c r="C254" s="37"/>
      <c r="H254" s="46"/>
      <c r="I254" s="46"/>
      <c r="J254" s="37"/>
      <c r="K254" s="37"/>
    </row>
    <row r="255">
      <c r="C255" s="37"/>
      <c r="H255" s="46"/>
      <c r="I255" s="46"/>
      <c r="J255" s="37"/>
      <c r="K255" s="37"/>
    </row>
    <row r="256">
      <c r="C256" s="37"/>
      <c r="H256" s="46"/>
      <c r="I256" s="46"/>
      <c r="J256" s="37"/>
      <c r="K256" s="37"/>
    </row>
    <row r="257">
      <c r="C257" s="37"/>
      <c r="H257" s="46"/>
      <c r="I257" s="46"/>
      <c r="J257" s="37"/>
      <c r="K257" s="37"/>
    </row>
    <row r="258">
      <c r="C258" s="37"/>
      <c r="H258" s="46"/>
      <c r="I258" s="46"/>
      <c r="J258" s="37"/>
      <c r="K258" s="37"/>
    </row>
    <row r="259">
      <c r="C259" s="37"/>
      <c r="H259" s="46"/>
      <c r="I259" s="46"/>
      <c r="J259" s="37"/>
      <c r="K259" s="37"/>
    </row>
    <row r="260">
      <c r="C260" s="37"/>
      <c r="H260" s="46"/>
      <c r="I260" s="46"/>
      <c r="J260" s="37"/>
      <c r="K260" s="37"/>
    </row>
    <row r="261">
      <c r="C261" s="37"/>
      <c r="H261" s="46"/>
      <c r="I261" s="46"/>
      <c r="J261" s="37"/>
      <c r="K261" s="37"/>
    </row>
    <row r="262">
      <c r="C262" s="37"/>
      <c r="H262" s="46"/>
      <c r="I262" s="46"/>
      <c r="J262" s="37"/>
      <c r="K262" s="37"/>
    </row>
    <row r="263">
      <c r="C263" s="37"/>
      <c r="H263" s="46"/>
      <c r="I263" s="46"/>
      <c r="J263" s="37"/>
      <c r="K263" s="37"/>
    </row>
    <row r="264">
      <c r="C264" s="37"/>
      <c r="H264" s="46"/>
      <c r="I264" s="46"/>
      <c r="J264" s="37"/>
      <c r="K264" s="37"/>
    </row>
    <row r="265">
      <c r="C265" s="37"/>
      <c r="H265" s="46"/>
      <c r="I265" s="46"/>
      <c r="J265" s="37"/>
      <c r="K265" s="37"/>
    </row>
    <row r="266">
      <c r="C266" s="37"/>
      <c r="H266" s="46"/>
      <c r="I266" s="46"/>
      <c r="J266" s="37"/>
      <c r="K266" s="37"/>
    </row>
    <row r="267">
      <c r="C267" s="37"/>
      <c r="H267" s="46"/>
      <c r="I267" s="46"/>
      <c r="J267" s="37"/>
      <c r="K267" s="37"/>
    </row>
    <row r="268">
      <c r="C268" s="37"/>
      <c r="H268" s="46"/>
      <c r="I268" s="46"/>
      <c r="J268" s="37"/>
      <c r="K268" s="37"/>
    </row>
    <row r="269">
      <c r="C269" s="37"/>
      <c r="H269" s="46"/>
      <c r="I269" s="46"/>
      <c r="J269" s="37"/>
      <c r="K269" s="37"/>
    </row>
    <row r="270">
      <c r="C270" s="37"/>
      <c r="H270" s="46"/>
      <c r="I270" s="46"/>
      <c r="J270" s="37"/>
      <c r="K270" s="37"/>
    </row>
    <row r="271">
      <c r="C271" s="37"/>
      <c r="H271" s="46"/>
      <c r="I271" s="46"/>
      <c r="J271" s="37"/>
      <c r="K271" s="37"/>
    </row>
    <row r="272">
      <c r="C272" s="37"/>
      <c r="H272" s="46"/>
      <c r="I272" s="46"/>
      <c r="J272" s="37"/>
      <c r="K272" s="37"/>
    </row>
    <row r="273">
      <c r="C273" s="37"/>
      <c r="H273" s="46"/>
      <c r="I273" s="46"/>
      <c r="J273" s="37"/>
      <c r="K273" s="37"/>
    </row>
    <row r="274">
      <c r="C274" s="37"/>
      <c r="H274" s="46"/>
      <c r="I274" s="46"/>
      <c r="J274" s="37"/>
      <c r="K274" s="37"/>
    </row>
    <row r="275">
      <c r="C275" s="37"/>
      <c r="H275" s="46"/>
      <c r="I275" s="46"/>
      <c r="J275" s="37"/>
      <c r="K275" s="37"/>
    </row>
    <row r="276">
      <c r="C276" s="37"/>
      <c r="H276" s="46"/>
      <c r="I276" s="46"/>
      <c r="J276" s="37"/>
      <c r="K276" s="37"/>
    </row>
    <row r="277">
      <c r="C277" s="37"/>
      <c r="H277" s="46"/>
      <c r="I277" s="46"/>
      <c r="J277" s="37"/>
      <c r="K277" s="37"/>
    </row>
    <row r="278">
      <c r="C278" s="37"/>
      <c r="H278" s="46"/>
      <c r="I278" s="46"/>
      <c r="J278" s="37"/>
      <c r="K278" s="37"/>
    </row>
    <row r="279">
      <c r="C279" s="37"/>
      <c r="H279" s="46"/>
      <c r="I279" s="46"/>
      <c r="J279" s="37"/>
      <c r="K279" s="37"/>
    </row>
    <row r="280">
      <c r="C280" s="37"/>
      <c r="H280" s="46"/>
      <c r="I280" s="46"/>
      <c r="J280" s="37"/>
      <c r="K280" s="37"/>
    </row>
    <row r="281">
      <c r="C281" s="37"/>
      <c r="H281" s="46"/>
      <c r="I281" s="46"/>
      <c r="J281" s="37"/>
      <c r="K281" s="37"/>
    </row>
    <row r="282">
      <c r="C282" s="37"/>
      <c r="H282" s="46"/>
      <c r="I282" s="46"/>
      <c r="J282" s="37"/>
      <c r="K282" s="37"/>
    </row>
    <row r="283">
      <c r="C283" s="37"/>
      <c r="H283" s="46"/>
      <c r="I283" s="46"/>
      <c r="J283" s="37"/>
      <c r="K283" s="37"/>
    </row>
    <row r="284">
      <c r="C284" s="37"/>
      <c r="H284" s="46"/>
      <c r="I284" s="46"/>
      <c r="J284" s="37"/>
      <c r="K284" s="37"/>
    </row>
    <row r="285">
      <c r="C285" s="37"/>
      <c r="H285" s="46"/>
      <c r="I285" s="46"/>
      <c r="J285" s="37"/>
      <c r="K285" s="37"/>
    </row>
    <row r="286">
      <c r="C286" s="37"/>
      <c r="H286" s="46"/>
      <c r="I286" s="46"/>
      <c r="J286" s="37"/>
      <c r="K286" s="37"/>
    </row>
    <row r="287">
      <c r="C287" s="37"/>
      <c r="H287" s="46"/>
      <c r="I287" s="46"/>
      <c r="J287" s="37"/>
      <c r="K287" s="37"/>
    </row>
    <row r="288">
      <c r="C288" s="37"/>
      <c r="H288" s="46"/>
      <c r="I288" s="46"/>
      <c r="J288" s="37"/>
      <c r="K288" s="37"/>
    </row>
    <row r="289">
      <c r="C289" s="37"/>
      <c r="H289" s="46"/>
      <c r="I289" s="46"/>
      <c r="J289" s="37"/>
      <c r="K289" s="37"/>
    </row>
    <row r="290">
      <c r="C290" s="37"/>
      <c r="H290" s="46"/>
      <c r="I290" s="46"/>
      <c r="J290" s="37"/>
      <c r="K290" s="37"/>
    </row>
    <row r="291">
      <c r="C291" s="37"/>
      <c r="H291" s="46"/>
      <c r="I291" s="46"/>
      <c r="J291" s="37"/>
      <c r="K291" s="37"/>
    </row>
    <row r="292">
      <c r="C292" s="37"/>
      <c r="H292" s="46"/>
      <c r="I292" s="46"/>
      <c r="J292" s="37"/>
      <c r="K292" s="37"/>
    </row>
    <row r="293">
      <c r="C293" s="37"/>
      <c r="H293" s="46"/>
      <c r="I293" s="46"/>
      <c r="J293" s="37"/>
      <c r="K293" s="37"/>
    </row>
    <row r="294">
      <c r="C294" s="37"/>
      <c r="H294" s="46"/>
      <c r="I294" s="46"/>
      <c r="J294" s="37"/>
      <c r="K294" s="37"/>
    </row>
    <row r="295">
      <c r="C295" s="37"/>
      <c r="H295" s="46"/>
      <c r="I295" s="46"/>
      <c r="J295" s="37"/>
      <c r="K295" s="37"/>
    </row>
    <row r="296">
      <c r="C296" s="37"/>
      <c r="H296" s="46"/>
      <c r="I296" s="46"/>
      <c r="J296" s="37"/>
      <c r="K296" s="37"/>
    </row>
    <row r="297">
      <c r="C297" s="37"/>
      <c r="H297" s="46"/>
      <c r="I297" s="46"/>
      <c r="J297" s="37"/>
      <c r="K297" s="37"/>
    </row>
    <row r="298">
      <c r="C298" s="37"/>
      <c r="H298" s="46"/>
      <c r="I298" s="46"/>
      <c r="J298" s="37"/>
      <c r="K298" s="37"/>
    </row>
    <row r="299">
      <c r="C299" s="37"/>
      <c r="H299" s="46"/>
      <c r="I299" s="46"/>
      <c r="J299" s="37"/>
      <c r="K299" s="37"/>
    </row>
    <row r="300">
      <c r="C300" s="37"/>
      <c r="H300" s="46"/>
      <c r="I300" s="46"/>
      <c r="J300" s="37"/>
      <c r="K300" s="37"/>
    </row>
    <row r="301">
      <c r="C301" s="37"/>
      <c r="H301" s="46"/>
      <c r="I301" s="46"/>
      <c r="J301" s="37"/>
      <c r="K301" s="37"/>
    </row>
    <row r="302">
      <c r="C302" s="37"/>
      <c r="H302" s="46"/>
      <c r="I302" s="46"/>
      <c r="J302" s="37"/>
      <c r="K302" s="37"/>
    </row>
    <row r="303">
      <c r="C303" s="37"/>
      <c r="H303" s="46"/>
      <c r="I303" s="46"/>
      <c r="J303" s="37"/>
      <c r="K303" s="37"/>
    </row>
    <row r="304">
      <c r="C304" s="37"/>
      <c r="H304" s="46"/>
      <c r="I304" s="46"/>
      <c r="J304" s="37"/>
      <c r="K304" s="37"/>
    </row>
    <row r="305">
      <c r="C305" s="37"/>
      <c r="H305" s="46"/>
      <c r="I305" s="46"/>
      <c r="J305" s="37"/>
      <c r="K305" s="37"/>
    </row>
    <row r="306">
      <c r="C306" s="37"/>
      <c r="H306" s="46"/>
      <c r="I306" s="46"/>
      <c r="J306" s="37"/>
      <c r="K306" s="37"/>
    </row>
    <row r="307">
      <c r="C307" s="37"/>
      <c r="H307" s="46"/>
      <c r="I307" s="46"/>
      <c r="J307" s="37"/>
      <c r="K307" s="37"/>
    </row>
    <row r="308">
      <c r="C308" s="37"/>
      <c r="H308" s="46"/>
      <c r="I308" s="46"/>
      <c r="J308" s="37"/>
      <c r="K308" s="37"/>
    </row>
    <row r="309">
      <c r="C309" s="37"/>
      <c r="H309" s="46"/>
      <c r="I309" s="46"/>
      <c r="J309" s="37"/>
      <c r="K309" s="37"/>
    </row>
    <row r="310">
      <c r="C310" s="37"/>
      <c r="H310" s="46"/>
      <c r="I310" s="46"/>
      <c r="J310" s="37"/>
      <c r="K310" s="37"/>
    </row>
    <row r="311">
      <c r="C311" s="37"/>
      <c r="H311" s="46"/>
      <c r="I311" s="46"/>
      <c r="J311" s="37"/>
      <c r="K311" s="37"/>
    </row>
    <row r="312">
      <c r="C312" s="37"/>
      <c r="H312" s="46"/>
      <c r="I312" s="46"/>
      <c r="J312" s="37"/>
      <c r="K312" s="37"/>
    </row>
    <row r="313">
      <c r="C313" s="37"/>
      <c r="H313" s="46"/>
      <c r="I313" s="46"/>
      <c r="J313" s="37"/>
      <c r="K313" s="37"/>
    </row>
    <row r="314">
      <c r="C314" s="37"/>
      <c r="H314" s="46"/>
      <c r="I314" s="46"/>
      <c r="J314" s="37"/>
      <c r="K314" s="37"/>
    </row>
    <row r="315">
      <c r="C315" s="37"/>
      <c r="H315" s="46"/>
      <c r="I315" s="46"/>
      <c r="J315" s="37"/>
      <c r="K315" s="37"/>
    </row>
    <row r="316">
      <c r="C316" s="37"/>
      <c r="H316" s="46"/>
      <c r="I316" s="46"/>
      <c r="J316" s="37"/>
      <c r="K316" s="37"/>
    </row>
    <row r="317">
      <c r="C317" s="37"/>
      <c r="H317" s="46"/>
      <c r="I317" s="46"/>
      <c r="J317" s="37"/>
      <c r="K317" s="37"/>
    </row>
    <row r="318">
      <c r="C318" s="37"/>
      <c r="H318" s="46"/>
      <c r="I318" s="46"/>
      <c r="J318" s="37"/>
      <c r="K318" s="37"/>
    </row>
    <row r="319">
      <c r="C319" s="37"/>
      <c r="H319" s="46"/>
      <c r="I319" s="46"/>
      <c r="J319" s="37"/>
      <c r="K319" s="37"/>
    </row>
    <row r="320">
      <c r="C320" s="37"/>
      <c r="H320" s="46"/>
      <c r="I320" s="46"/>
      <c r="J320" s="37"/>
      <c r="K320" s="37"/>
    </row>
    <row r="321">
      <c r="C321" s="37"/>
      <c r="H321" s="46"/>
      <c r="I321" s="46"/>
      <c r="J321" s="37"/>
      <c r="K321" s="37"/>
    </row>
    <row r="322">
      <c r="C322" s="37"/>
      <c r="H322" s="46"/>
      <c r="I322" s="46"/>
      <c r="J322" s="37"/>
      <c r="K322" s="37"/>
    </row>
    <row r="323">
      <c r="C323" s="37"/>
      <c r="H323" s="46"/>
      <c r="I323" s="46"/>
      <c r="J323" s="37"/>
      <c r="K323" s="37"/>
    </row>
    <row r="324">
      <c r="C324" s="37"/>
      <c r="H324" s="46"/>
      <c r="I324" s="46"/>
      <c r="J324" s="37"/>
      <c r="K324" s="37"/>
    </row>
    <row r="325">
      <c r="C325" s="37"/>
      <c r="H325" s="46"/>
      <c r="I325" s="46"/>
      <c r="J325" s="37"/>
      <c r="K325" s="37"/>
    </row>
    <row r="326">
      <c r="C326" s="37"/>
      <c r="H326" s="46"/>
      <c r="I326" s="46"/>
      <c r="J326" s="37"/>
      <c r="K326" s="37"/>
    </row>
    <row r="327">
      <c r="C327" s="37"/>
      <c r="H327" s="46"/>
      <c r="I327" s="46"/>
      <c r="J327" s="37"/>
      <c r="K327" s="37"/>
    </row>
    <row r="328">
      <c r="C328" s="37"/>
      <c r="H328" s="46"/>
      <c r="I328" s="46"/>
      <c r="J328" s="37"/>
      <c r="K328" s="37"/>
    </row>
    <row r="329">
      <c r="C329" s="37"/>
      <c r="H329" s="46"/>
      <c r="I329" s="46"/>
      <c r="J329" s="37"/>
      <c r="K329" s="37"/>
    </row>
    <row r="330">
      <c r="C330" s="37"/>
      <c r="H330" s="46"/>
      <c r="I330" s="46"/>
      <c r="J330" s="37"/>
      <c r="K330" s="37"/>
    </row>
    <row r="331">
      <c r="C331" s="37"/>
      <c r="H331" s="46"/>
      <c r="I331" s="46"/>
      <c r="J331" s="37"/>
      <c r="K331" s="37"/>
    </row>
    <row r="332">
      <c r="C332" s="37"/>
      <c r="H332" s="46"/>
      <c r="I332" s="46"/>
      <c r="J332" s="37"/>
      <c r="K332" s="37"/>
    </row>
    <row r="333">
      <c r="C333" s="37"/>
      <c r="H333" s="46"/>
      <c r="I333" s="46"/>
      <c r="J333" s="37"/>
      <c r="K333" s="37"/>
    </row>
    <row r="334">
      <c r="C334" s="37"/>
      <c r="H334" s="46"/>
      <c r="I334" s="46"/>
      <c r="J334" s="37"/>
      <c r="K334" s="37"/>
    </row>
    <row r="335">
      <c r="C335" s="37"/>
      <c r="H335" s="46"/>
      <c r="I335" s="46"/>
      <c r="J335" s="37"/>
      <c r="K335" s="37"/>
    </row>
    <row r="336">
      <c r="C336" s="37"/>
      <c r="H336" s="46"/>
      <c r="I336" s="46"/>
      <c r="J336" s="37"/>
      <c r="K336" s="37"/>
    </row>
    <row r="337">
      <c r="C337" s="37"/>
      <c r="H337" s="46"/>
      <c r="I337" s="46"/>
      <c r="J337" s="37"/>
      <c r="K337" s="37"/>
    </row>
    <row r="338">
      <c r="C338" s="37"/>
      <c r="H338" s="46"/>
      <c r="I338" s="46"/>
      <c r="J338" s="37"/>
      <c r="K338" s="37"/>
    </row>
    <row r="339">
      <c r="C339" s="37"/>
      <c r="H339" s="46"/>
      <c r="I339" s="46"/>
      <c r="J339" s="37"/>
      <c r="K339" s="37"/>
    </row>
    <row r="340">
      <c r="C340" s="37"/>
      <c r="H340" s="46"/>
      <c r="I340" s="46"/>
      <c r="J340" s="37"/>
      <c r="K340" s="37"/>
    </row>
    <row r="341">
      <c r="C341" s="37"/>
      <c r="H341" s="46"/>
      <c r="I341" s="46"/>
      <c r="J341" s="37"/>
      <c r="K341" s="37"/>
    </row>
    <row r="342">
      <c r="C342" s="37"/>
      <c r="H342" s="46"/>
      <c r="I342" s="46"/>
      <c r="J342" s="37"/>
      <c r="K342" s="37"/>
    </row>
    <row r="343">
      <c r="C343" s="37"/>
      <c r="H343" s="46"/>
      <c r="I343" s="46"/>
      <c r="J343" s="37"/>
      <c r="K343" s="37"/>
    </row>
    <row r="344">
      <c r="C344" s="37"/>
      <c r="H344" s="46"/>
      <c r="I344" s="46"/>
      <c r="J344" s="37"/>
      <c r="K344" s="37"/>
    </row>
    <row r="345">
      <c r="C345" s="37"/>
      <c r="H345" s="46"/>
      <c r="I345" s="46"/>
      <c r="J345" s="37"/>
      <c r="K345" s="37"/>
    </row>
    <row r="346">
      <c r="C346" s="37"/>
      <c r="H346" s="46"/>
      <c r="I346" s="46"/>
      <c r="J346" s="37"/>
      <c r="K346" s="37"/>
    </row>
    <row r="347">
      <c r="C347" s="37"/>
      <c r="H347" s="46"/>
      <c r="I347" s="46"/>
      <c r="J347" s="37"/>
      <c r="K347" s="37"/>
    </row>
    <row r="348">
      <c r="C348" s="37"/>
      <c r="H348" s="46"/>
      <c r="I348" s="46"/>
      <c r="J348" s="37"/>
      <c r="K348" s="37"/>
    </row>
    <row r="349">
      <c r="C349" s="37"/>
      <c r="H349" s="46"/>
      <c r="I349" s="46"/>
      <c r="J349" s="37"/>
      <c r="K349" s="37"/>
    </row>
    <row r="350">
      <c r="C350" s="37"/>
      <c r="H350" s="46"/>
      <c r="I350" s="46"/>
      <c r="J350" s="37"/>
      <c r="K350" s="37"/>
    </row>
    <row r="351">
      <c r="C351" s="37"/>
      <c r="H351" s="46"/>
      <c r="I351" s="46"/>
      <c r="J351" s="37"/>
      <c r="K351" s="37"/>
    </row>
    <row r="352">
      <c r="C352" s="37"/>
      <c r="H352" s="46"/>
      <c r="I352" s="46"/>
      <c r="J352" s="37"/>
      <c r="K352" s="37"/>
    </row>
    <row r="353">
      <c r="C353" s="37"/>
      <c r="H353" s="46"/>
      <c r="I353" s="46"/>
      <c r="J353" s="37"/>
      <c r="K353" s="37"/>
    </row>
    <row r="354">
      <c r="C354" s="37"/>
      <c r="H354" s="46"/>
      <c r="I354" s="46"/>
      <c r="J354" s="37"/>
      <c r="K354" s="37"/>
    </row>
    <row r="355">
      <c r="C355" s="37"/>
      <c r="H355" s="46"/>
      <c r="I355" s="46"/>
      <c r="J355" s="37"/>
      <c r="K355" s="37"/>
    </row>
    <row r="356">
      <c r="C356" s="37"/>
      <c r="H356" s="46"/>
      <c r="I356" s="46"/>
      <c r="J356" s="37"/>
      <c r="K356" s="37"/>
    </row>
    <row r="357">
      <c r="C357" s="37"/>
      <c r="H357" s="46"/>
      <c r="I357" s="46"/>
      <c r="J357" s="37"/>
      <c r="K357" s="37"/>
    </row>
    <row r="358">
      <c r="C358" s="37"/>
      <c r="H358" s="46"/>
      <c r="I358" s="46"/>
      <c r="J358" s="37"/>
      <c r="K358" s="37"/>
    </row>
    <row r="359">
      <c r="C359" s="37"/>
      <c r="H359" s="46"/>
      <c r="I359" s="46"/>
      <c r="J359" s="37"/>
      <c r="K359" s="37"/>
    </row>
    <row r="360">
      <c r="C360" s="37"/>
      <c r="H360" s="46"/>
      <c r="I360" s="46"/>
      <c r="J360" s="37"/>
      <c r="K360" s="37"/>
    </row>
    <row r="361">
      <c r="C361" s="37"/>
      <c r="H361" s="46"/>
      <c r="I361" s="46"/>
      <c r="J361" s="37"/>
      <c r="K361" s="37"/>
    </row>
    <row r="362">
      <c r="C362" s="37"/>
      <c r="H362" s="46"/>
      <c r="I362" s="46"/>
      <c r="J362" s="37"/>
      <c r="K362" s="37"/>
    </row>
    <row r="363">
      <c r="C363" s="37"/>
      <c r="H363" s="46"/>
      <c r="I363" s="46"/>
      <c r="J363" s="37"/>
      <c r="K363" s="37"/>
    </row>
    <row r="364">
      <c r="C364" s="37"/>
      <c r="H364" s="46"/>
      <c r="I364" s="46"/>
      <c r="J364" s="37"/>
      <c r="K364" s="37"/>
    </row>
    <row r="365">
      <c r="C365" s="37"/>
      <c r="H365" s="46"/>
      <c r="I365" s="46"/>
      <c r="J365" s="37"/>
      <c r="K365" s="37"/>
    </row>
    <row r="366">
      <c r="C366" s="37"/>
      <c r="H366" s="46"/>
      <c r="I366" s="46"/>
      <c r="J366" s="37"/>
      <c r="K366" s="37"/>
    </row>
    <row r="367">
      <c r="C367" s="37"/>
      <c r="H367" s="46"/>
      <c r="I367" s="46"/>
      <c r="J367" s="37"/>
      <c r="K367" s="37"/>
    </row>
    <row r="368">
      <c r="C368" s="37"/>
      <c r="H368" s="46"/>
      <c r="I368" s="46"/>
      <c r="J368" s="37"/>
      <c r="K368" s="37"/>
    </row>
    <row r="369">
      <c r="C369" s="37"/>
      <c r="H369" s="46"/>
      <c r="I369" s="46"/>
      <c r="J369" s="37"/>
      <c r="K369" s="37"/>
    </row>
    <row r="370">
      <c r="C370" s="37"/>
      <c r="H370" s="46"/>
      <c r="I370" s="46"/>
      <c r="J370" s="37"/>
      <c r="K370" s="37"/>
    </row>
    <row r="371">
      <c r="C371" s="37"/>
      <c r="H371" s="46"/>
      <c r="I371" s="46"/>
      <c r="J371" s="37"/>
      <c r="K371" s="37"/>
    </row>
    <row r="372">
      <c r="C372" s="37"/>
      <c r="H372" s="46"/>
      <c r="I372" s="46"/>
      <c r="J372" s="37"/>
      <c r="K372" s="37"/>
    </row>
    <row r="373">
      <c r="C373" s="37"/>
      <c r="H373" s="46"/>
      <c r="I373" s="46"/>
      <c r="J373" s="37"/>
      <c r="K373" s="37"/>
    </row>
    <row r="374">
      <c r="C374" s="37"/>
      <c r="H374" s="46"/>
      <c r="I374" s="46"/>
      <c r="J374" s="37"/>
      <c r="K374" s="37"/>
    </row>
    <row r="375">
      <c r="C375" s="37"/>
      <c r="H375" s="46"/>
      <c r="I375" s="46"/>
      <c r="J375" s="37"/>
      <c r="K375" s="37"/>
    </row>
    <row r="376">
      <c r="C376" s="37"/>
      <c r="H376" s="46"/>
      <c r="I376" s="46"/>
      <c r="J376" s="37"/>
      <c r="K376" s="37"/>
    </row>
    <row r="377">
      <c r="C377" s="37"/>
      <c r="H377" s="46"/>
      <c r="I377" s="46"/>
      <c r="J377" s="37"/>
      <c r="K377" s="37"/>
    </row>
    <row r="378">
      <c r="C378" s="37"/>
      <c r="H378" s="46"/>
      <c r="I378" s="46"/>
      <c r="J378" s="37"/>
      <c r="K378" s="37"/>
    </row>
    <row r="379">
      <c r="C379" s="37"/>
      <c r="H379" s="46"/>
      <c r="I379" s="46"/>
      <c r="J379" s="37"/>
      <c r="K379" s="37"/>
    </row>
    <row r="380">
      <c r="C380" s="37"/>
      <c r="H380" s="46"/>
      <c r="I380" s="46"/>
      <c r="J380" s="37"/>
      <c r="K380" s="37"/>
    </row>
    <row r="381">
      <c r="C381" s="37"/>
      <c r="H381" s="46"/>
      <c r="I381" s="46"/>
      <c r="J381" s="37"/>
      <c r="K381" s="37"/>
    </row>
    <row r="382">
      <c r="C382" s="37"/>
      <c r="H382" s="46"/>
      <c r="I382" s="46"/>
      <c r="J382" s="37"/>
      <c r="K382" s="37"/>
    </row>
    <row r="383">
      <c r="C383" s="37"/>
      <c r="H383" s="46"/>
      <c r="I383" s="46"/>
      <c r="J383" s="37"/>
      <c r="K383" s="37"/>
    </row>
    <row r="384">
      <c r="C384" s="37"/>
      <c r="H384" s="46"/>
      <c r="I384" s="46"/>
      <c r="J384" s="37"/>
      <c r="K384" s="37"/>
    </row>
    <row r="385">
      <c r="C385" s="37"/>
      <c r="H385" s="46"/>
      <c r="I385" s="46"/>
      <c r="J385" s="37"/>
      <c r="K385" s="37"/>
    </row>
    <row r="386">
      <c r="C386" s="37"/>
      <c r="H386" s="46"/>
      <c r="I386" s="46"/>
      <c r="J386" s="37"/>
      <c r="K386" s="37"/>
    </row>
    <row r="387">
      <c r="C387" s="37"/>
      <c r="H387" s="46"/>
      <c r="I387" s="46"/>
      <c r="J387" s="37"/>
      <c r="K387" s="37"/>
    </row>
    <row r="388">
      <c r="C388" s="37"/>
      <c r="H388" s="46"/>
      <c r="I388" s="46"/>
      <c r="J388" s="37"/>
      <c r="K388" s="37"/>
    </row>
    <row r="389">
      <c r="C389" s="37"/>
      <c r="H389" s="46"/>
      <c r="I389" s="46"/>
      <c r="J389" s="37"/>
      <c r="K389" s="37"/>
    </row>
    <row r="390">
      <c r="C390" s="37"/>
      <c r="H390" s="46"/>
      <c r="I390" s="46"/>
      <c r="J390" s="37"/>
      <c r="K390" s="37"/>
    </row>
    <row r="391">
      <c r="C391" s="37"/>
      <c r="H391" s="46"/>
      <c r="I391" s="46"/>
      <c r="J391" s="37"/>
      <c r="K391" s="37"/>
    </row>
    <row r="392">
      <c r="C392" s="37"/>
      <c r="H392" s="46"/>
      <c r="I392" s="46"/>
      <c r="J392" s="37"/>
      <c r="K392" s="37"/>
    </row>
    <row r="393">
      <c r="C393" s="37"/>
      <c r="H393" s="46"/>
      <c r="I393" s="46"/>
      <c r="J393" s="37"/>
      <c r="K393" s="37"/>
    </row>
    <row r="394">
      <c r="C394" s="37"/>
      <c r="H394" s="46"/>
      <c r="I394" s="46"/>
      <c r="J394" s="37"/>
      <c r="K394" s="37"/>
    </row>
    <row r="395">
      <c r="C395" s="37"/>
      <c r="H395" s="46"/>
      <c r="I395" s="46"/>
      <c r="J395" s="37"/>
      <c r="K395" s="37"/>
    </row>
    <row r="396">
      <c r="C396" s="37"/>
      <c r="H396" s="46"/>
      <c r="I396" s="46"/>
      <c r="J396" s="37"/>
      <c r="K396" s="37"/>
    </row>
    <row r="397">
      <c r="C397" s="37"/>
      <c r="H397" s="46"/>
      <c r="I397" s="46"/>
      <c r="J397" s="37"/>
      <c r="K397" s="37"/>
    </row>
    <row r="398">
      <c r="C398" s="37"/>
      <c r="H398" s="46"/>
      <c r="I398" s="46"/>
      <c r="J398" s="37"/>
      <c r="K398" s="37"/>
    </row>
    <row r="399">
      <c r="C399" s="37"/>
      <c r="H399" s="46"/>
      <c r="I399" s="46"/>
      <c r="J399" s="37"/>
      <c r="K399" s="37"/>
    </row>
    <row r="400">
      <c r="C400" s="37"/>
      <c r="H400" s="46"/>
      <c r="I400" s="46"/>
      <c r="J400" s="37"/>
      <c r="K400" s="37"/>
    </row>
    <row r="401">
      <c r="C401" s="37"/>
      <c r="H401" s="46"/>
      <c r="I401" s="46"/>
      <c r="J401" s="37"/>
      <c r="K401" s="37"/>
    </row>
    <row r="402">
      <c r="C402" s="37"/>
      <c r="H402" s="46"/>
      <c r="I402" s="46"/>
      <c r="J402" s="37"/>
      <c r="K402" s="37"/>
    </row>
    <row r="403">
      <c r="C403" s="37"/>
      <c r="H403" s="46"/>
      <c r="I403" s="46"/>
      <c r="J403" s="37"/>
      <c r="K403" s="37"/>
    </row>
    <row r="404">
      <c r="C404" s="37"/>
      <c r="H404" s="46"/>
      <c r="I404" s="46"/>
      <c r="J404" s="37"/>
      <c r="K404" s="37"/>
    </row>
    <row r="405">
      <c r="C405" s="37"/>
      <c r="H405" s="46"/>
      <c r="I405" s="46"/>
      <c r="J405" s="37"/>
      <c r="K405" s="37"/>
    </row>
    <row r="406">
      <c r="C406" s="37"/>
      <c r="H406" s="46"/>
      <c r="I406" s="46"/>
      <c r="J406" s="37"/>
      <c r="K406" s="37"/>
    </row>
    <row r="407">
      <c r="C407" s="37"/>
      <c r="H407" s="46"/>
      <c r="I407" s="46"/>
      <c r="J407" s="37"/>
      <c r="K407" s="37"/>
    </row>
    <row r="408">
      <c r="C408" s="37"/>
      <c r="H408" s="46"/>
      <c r="I408" s="46"/>
      <c r="J408" s="37"/>
      <c r="K408" s="37"/>
    </row>
    <row r="409">
      <c r="C409" s="37"/>
      <c r="H409" s="46"/>
      <c r="I409" s="46"/>
      <c r="J409" s="37"/>
      <c r="K409" s="37"/>
    </row>
    <row r="410">
      <c r="C410" s="37"/>
      <c r="H410" s="46"/>
      <c r="I410" s="46"/>
      <c r="J410" s="37"/>
      <c r="K410" s="37"/>
    </row>
    <row r="411">
      <c r="C411" s="37"/>
      <c r="H411" s="46"/>
      <c r="I411" s="46"/>
      <c r="J411" s="37"/>
      <c r="K411" s="37"/>
    </row>
    <row r="412">
      <c r="C412" s="37"/>
      <c r="H412" s="46"/>
      <c r="I412" s="46"/>
      <c r="J412" s="37"/>
      <c r="K412" s="37"/>
    </row>
    <row r="413">
      <c r="C413" s="37"/>
      <c r="H413" s="46"/>
      <c r="I413" s="46"/>
      <c r="J413" s="37"/>
      <c r="K413" s="37"/>
    </row>
    <row r="414">
      <c r="C414" s="37"/>
      <c r="H414" s="46"/>
      <c r="I414" s="46"/>
      <c r="J414" s="37"/>
      <c r="K414" s="37"/>
    </row>
    <row r="415">
      <c r="C415" s="37"/>
      <c r="H415" s="46"/>
      <c r="I415" s="46"/>
      <c r="J415" s="37"/>
      <c r="K415" s="37"/>
    </row>
    <row r="416">
      <c r="C416" s="37"/>
      <c r="H416" s="46"/>
      <c r="I416" s="46"/>
      <c r="J416" s="37"/>
      <c r="K416" s="37"/>
    </row>
    <row r="417">
      <c r="C417" s="37"/>
      <c r="H417" s="46"/>
      <c r="I417" s="46"/>
      <c r="J417" s="37"/>
      <c r="K417" s="37"/>
    </row>
    <row r="418">
      <c r="C418" s="37"/>
      <c r="H418" s="46"/>
      <c r="I418" s="46"/>
      <c r="J418" s="37"/>
      <c r="K418" s="37"/>
    </row>
    <row r="419">
      <c r="C419" s="37"/>
      <c r="H419" s="46"/>
      <c r="I419" s="46"/>
      <c r="J419" s="37"/>
      <c r="K419" s="37"/>
    </row>
    <row r="420">
      <c r="C420" s="37"/>
      <c r="H420" s="46"/>
      <c r="I420" s="46"/>
      <c r="J420" s="37"/>
      <c r="K420" s="37"/>
    </row>
    <row r="421">
      <c r="C421" s="37"/>
      <c r="H421" s="46"/>
      <c r="I421" s="46"/>
      <c r="J421" s="37"/>
      <c r="K421" s="37"/>
    </row>
    <row r="422">
      <c r="C422" s="37"/>
      <c r="H422" s="46"/>
      <c r="I422" s="46"/>
      <c r="J422" s="37"/>
      <c r="K422" s="37"/>
    </row>
    <row r="423">
      <c r="C423" s="37"/>
      <c r="H423" s="46"/>
      <c r="I423" s="46"/>
      <c r="J423" s="37"/>
      <c r="K423" s="37"/>
    </row>
    <row r="424">
      <c r="C424" s="37"/>
      <c r="H424" s="46"/>
      <c r="I424" s="46"/>
      <c r="J424" s="37"/>
      <c r="K424" s="37"/>
    </row>
    <row r="425">
      <c r="C425" s="37"/>
      <c r="H425" s="46"/>
      <c r="I425" s="46"/>
      <c r="J425" s="37"/>
      <c r="K425" s="37"/>
    </row>
    <row r="426">
      <c r="C426" s="37"/>
      <c r="H426" s="46"/>
      <c r="I426" s="46"/>
      <c r="J426" s="37"/>
      <c r="K426" s="37"/>
    </row>
    <row r="427">
      <c r="C427" s="37"/>
      <c r="H427" s="46"/>
      <c r="I427" s="46"/>
      <c r="J427" s="37"/>
      <c r="K427" s="37"/>
    </row>
    <row r="428">
      <c r="C428" s="37"/>
      <c r="H428" s="46"/>
      <c r="I428" s="46"/>
      <c r="J428" s="37"/>
      <c r="K428" s="37"/>
    </row>
    <row r="429">
      <c r="C429" s="37"/>
      <c r="H429" s="46"/>
      <c r="I429" s="46"/>
      <c r="J429" s="37"/>
      <c r="K429" s="37"/>
    </row>
    <row r="430">
      <c r="C430" s="37"/>
      <c r="H430" s="46"/>
      <c r="I430" s="46"/>
      <c r="J430" s="37"/>
      <c r="K430" s="37"/>
    </row>
    <row r="431">
      <c r="C431" s="37"/>
      <c r="H431" s="46"/>
      <c r="I431" s="46"/>
      <c r="J431" s="37"/>
      <c r="K431" s="37"/>
    </row>
    <row r="432">
      <c r="C432" s="37"/>
      <c r="H432" s="46"/>
      <c r="I432" s="46"/>
      <c r="J432" s="37"/>
      <c r="K432" s="37"/>
    </row>
    <row r="433">
      <c r="C433" s="37"/>
      <c r="H433" s="46"/>
      <c r="I433" s="46"/>
      <c r="J433" s="37"/>
      <c r="K433" s="37"/>
    </row>
    <row r="434">
      <c r="C434" s="37"/>
      <c r="H434" s="46"/>
      <c r="I434" s="46"/>
      <c r="J434" s="37"/>
      <c r="K434" s="37"/>
    </row>
    <row r="435">
      <c r="C435" s="37"/>
      <c r="H435" s="46"/>
      <c r="I435" s="46"/>
      <c r="J435" s="37"/>
      <c r="K435" s="37"/>
    </row>
    <row r="436">
      <c r="C436" s="37"/>
      <c r="H436" s="46"/>
      <c r="I436" s="46"/>
      <c r="J436" s="37"/>
      <c r="K436" s="37"/>
    </row>
    <row r="437">
      <c r="C437" s="37"/>
      <c r="H437" s="46"/>
      <c r="I437" s="46"/>
      <c r="J437" s="37"/>
      <c r="K437" s="37"/>
    </row>
    <row r="438">
      <c r="C438" s="37"/>
      <c r="H438" s="46"/>
      <c r="I438" s="46"/>
      <c r="J438" s="37"/>
      <c r="K438" s="37"/>
    </row>
    <row r="439">
      <c r="C439" s="37"/>
      <c r="H439" s="46"/>
      <c r="I439" s="46"/>
      <c r="J439" s="37"/>
      <c r="K439" s="37"/>
    </row>
    <row r="440">
      <c r="C440" s="37"/>
      <c r="H440" s="46"/>
      <c r="I440" s="46"/>
      <c r="J440" s="37"/>
      <c r="K440" s="37"/>
    </row>
    <row r="441">
      <c r="C441" s="37"/>
      <c r="H441" s="46"/>
      <c r="I441" s="46"/>
      <c r="J441" s="37"/>
      <c r="K441" s="37"/>
    </row>
    <row r="442">
      <c r="C442" s="37"/>
      <c r="H442" s="46"/>
      <c r="I442" s="46"/>
      <c r="J442" s="37"/>
      <c r="K442" s="37"/>
    </row>
    <row r="443">
      <c r="C443" s="37"/>
      <c r="H443" s="46"/>
      <c r="I443" s="46"/>
      <c r="J443" s="37"/>
      <c r="K443" s="37"/>
    </row>
    <row r="444">
      <c r="C444" s="37"/>
      <c r="H444" s="46"/>
      <c r="I444" s="46"/>
      <c r="J444" s="37"/>
      <c r="K444" s="37"/>
    </row>
    <row r="445">
      <c r="C445" s="37"/>
      <c r="H445" s="46"/>
      <c r="I445" s="46"/>
      <c r="J445" s="37"/>
      <c r="K445" s="37"/>
    </row>
    <row r="446">
      <c r="C446" s="37"/>
      <c r="H446" s="46"/>
      <c r="I446" s="46"/>
      <c r="J446" s="37"/>
      <c r="K446" s="37"/>
    </row>
    <row r="447">
      <c r="C447" s="37"/>
      <c r="H447" s="46"/>
      <c r="I447" s="46"/>
      <c r="J447" s="37"/>
      <c r="K447" s="37"/>
    </row>
    <row r="448">
      <c r="C448" s="37"/>
      <c r="H448" s="46"/>
      <c r="I448" s="46"/>
      <c r="J448" s="37"/>
      <c r="K448" s="37"/>
    </row>
    <row r="449">
      <c r="C449" s="37"/>
      <c r="H449" s="46"/>
      <c r="I449" s="46"/>
      <c r="J449" s="37"/>
      <c r="K449" s="37"/>
    </row>
    <row r="450">
      <c r="C450" s="37"/>
      <c r="H450" s="46"/>
      <c r="I450" s="46"/>
      <c r="J450" s="37"/>
      <c r="K450" s="37"/>
    </row>
    <row r="451">
      <c r="C451" s="37"/>
      <c r="H451" s="46"/>
      <c r="I451" s="46"/>
      <c r="J451" s="37"/>
      <c r="K451" s="37"/>
    </row>
    <row r="452">
      <c r="C452" s="37"/>
      <c r="H452" s="46"/>
      <c r="I452" s="46"/>
      <c r="J452" s="37"/>
      <c r="K452" s="37"/>
    </row>
    <row r="453">
      <c r="C453" s="37"/>
      <c r="H453" s="46"/>
      <c r="I453" s="46"/>
      <c r="J453" s="37"/>
      <c r="K453" s="37"/>
    </row>
    <row r="454">
      <c r="C454" s="37"/>
      <c r="H454" s="46"/>
      <c r="I454" s="46"/>
      <c r="J454" s="37"/>
      <c r="K454" s="37"/>
    </row>
    <row r="455">
      <c r="C455" s="37"/>
      <c r="H455" s="46"/>
      <c r="I455" s="46"/>
      <c r="J455" s="37"/>
      <c r="K455" s="37"/>
    </row>
    <row r="456">
      <c r="C456" s="37"/>
      <c r="H456" s="46"/>
      <c r="I456" s="46"/>
      <c r="J456" s="37"/>
      <c r="K456" s="37"/>
    </row>
    <row r="457">
      <c r="C457" s="37"/>
      <c r="H457" s="46"/>
      <c r="I457" s="46"/>
      <c r="J457" s="37"/>
      <c r="K457" s="37"/>
    </row>
    <row r="458">
      <c r="C458" s="37"/>
      <c r="H458" s="46"/>
      <c r="I458" s="46"/>
      <c r="J458" s="37"/>
      <c r="K458" s="37"/>
    </row>
    <row r="459">
      <c r="C459" s="37"/>
      <c r="H459" s="46"/>
      <c r="I459" s="46"/>
      <c r="J459" s="37"/>
      <c r="K459" s="37"/>
    </row>
    <row r="460">
      <c r="C460" s="37"/>
      <c r="H460" s="46"/>
      <c r="I460" s="46"/>
      <c r="J460" s="37"/>
      <c r="K460" s="37"/>
    </row>
    <row r="461">
      <c r="C461" s="37"/>
      <c r="H461" s="46"/>
      <c r="I461" s="46"/>
      <c r="J461" s="37"/>
      <c r="K461" s="37"/>
    </row>
    <row r="462">
      <c r="C462" s="37"/>
      <c r="H462" s="46"/>
      <c r="I462" s="46"/>
      <c r="J462" s="37"/>
      <c r="K462" s="37"/>
    </row>
    <row r="463">
      <c r="C463" s="37"/>
      <c r="H463" s="46"/>
      <c r="I463" s="46"/>
      <c r="J463" s="37"/>
      <c r="K463" s="37"/>
    </row>
    <row r="464">
      <c r="C464" s="37"/>
      <c r="H464" s="46"/>
      <c r="I464" s="46"/>
      <c r="J464" s="37"/>
      <c r="K464" s="37"/>
    </row>
    <row r="465">
      <c r="C465" s="37"/>
      <c r="H465" s="46"/>
      <c r="I465" s="46"/>
      <c r="J465" s="37"/>
      <c r="K465" s="37"/>
    </row>
    <row r="466">
      <c r="C466" s="37"/>
      <c r="H466" s="46"/>
      <c r="I466" s="46"/>
      <c r="J466" s="37"/>
      <c r="K466" s="37"/>
    </row>
    <row r="467">
      <c r="C467" s="37"/>
      <c r="H467" s="46"/>
      <c r="I467" s="46"/>
      <c r="J467" s="37"/>
      <c r="K467" s="37"/>
    </row>
    <row r="468">
      <c r="C468" s="37"/>
      <c r="H468" s="46"/>
      <c r="I468" s="46"/>
      <c r="J468" s="37"/>
      <c r="K468" s="37"/>
    </row>
    <row r="469">
      <c r="C469" s="37"/>
      <c r="H469" s="46"/>
      <c r="I469" s="46"/>
      <c r="J469" s="37"/>
      <c r="K469" s="37"/>
    </row>
    <row r="470">
      <c r="C470" s="37"/>
      <c r="H470" s="46"/>
      <c r="I470" s="46"/>
      <c r="J470" s="37"/>
      <c r="K470" s="37"/>
    </row>
    <row r="471">
      <c r="C471" s="37"/>
      <c r="H471" s="46"/>
      <c r="I471" s="46"/>
      <c r="J471" s="37"/>
      <c r="K471" s="37"/>
    </row>
    <row r="472">
      <c r="C472" s="37"/>
      <c r="H472" s="46"/>
      <c r="I472" s="46"/>
      <c r="J472" s="37"/>
      <c r="K472" s="37"/>
    </row>
    <row r="473">
      <c r="C473" s="37"/>
      <c r="H473" s="46"/>
      <c r="I473" s="46"/>
      <c r="J473" s="37"/>
      <c r="K473" s="37"/>
    </row>
    <row r="474">
      <c r="C474" s="37"/>
      <c r="H474" s="46"/>
      <c r="I474" s="46"/>
      <c r="J474" s="37"/>
      <c r="K474" s="37"/>
    </row>
    <row r="475">
      <c r="C475" s="37"/>
      <c r="H475" s="46"/>
      <c r="I475" s="46"/>
      <c r="J475" s="37"/>
      <c r="K475" s="37"/>
    </row>
    <row r="476">
      <c r="C476" s="37"/>
      <c r="H476" s="46"/>
      <c r="I476" s="46"/>
      <c r="J476" s="37"/>
      <c r="K476" s="37"/>
    </row>
    <row r="477">
      <c r="C477" s="37"/>
      <c r="H477" s="46"/>
      <c r="I477" s="46"/>
      <c r="J477" s="37"/>
      <c r="K477" s="37"/>
    </row>
    <row r="478">
      <c r="C478" s="37"/>
      <c r="H478" s="46"/>
      <c r="I478" s="46"/>
      <c r="J478" s="37"/>
      <c r="K478" s="37"/>
    </row>
    <row r="479">
      <c r="C479" s="37"/>
      <c r="H479" s="46"/>
      <c r="I479" s="46"/>
      <c r="J479" s="37"/>
      <c r="K479" s="37"/>
    </row>
    <row r="480">
      <c r="C480" s="37"/>
      <c r="H480" s="46"/>
      <c r="I480" s="46"/>
      <c r="J480" s="37"/>
      <c r="K480" s="37"/>
    </row>
    <row r="481">
      <c r="C481" s="37"/>
      <c r="H481" s="46"/>
      <c r="I481" s="46"/>
      <c r="J481" s="37"/>
      <c r="K481" s="37"/>
    </row>
    <row r="482">
      <c r="C482" s="37"/>
      <c r="H482" s="46"/>
      <c r="I482" s="46"/>
      <c r="J482" s="37"/>
      <c r="K482" s="37"/>
    </row>
    <row r="483">
      <c r="C483" s="37"/>
      <c r="H483" s="46"/>
      <c r="I483" s="46"/>
      <c r="J483" s="37"/>
      <c r="K483" s="37"/>
    </row>
    <row r="484">
      <c r="C484" s="37"/>
      <c r="H484" s="46"/>
      <c r="I484" s="46"/>
      <c r="J484" s="37"/>
      <c r="K484" s="37"/>
    </row>
    <row r="485">
      <c r="C485" s="37"/>
      <c r="H485" s="46"/>
      <c r="I485" s="46"/>
      <c r="J485" s="37"/>
      <c r="K485" s="37"/>
    </row>
    <row r="486">
      <c r="C486" s="37"/>
      <c r="H486" s="46"/>
      <c r="I486" s="46"/>
      <c r="J486" s="37"/>
      <c r="K486" s="37"/>
    </row>
    <row r="487">
      <c r="C487" s="37"/>
      <c r="H487" s="46"/>
      <c r="I487" s="46"/>
      <c r="J487" s="37"/>
      <c r="K487" s="37"/>
    </row>
    <row r="488">
      <c r="C488" s="37"/>
      <c r="H488" s="46"/>
      <c r="I488" s="46"/>
      <c r="J488" s="37"/>
      <c r="K488" s="37"/>
    </row>
    <row r="489">
      <c r="C489" s="37"/>
      <c r="H489" s="46"/>
      <c r="I489" s="46"/>
      <c r="J489" s="37"/>
      <c r="K489" s="37"/>
    </row>
    <row r="490">
      <c r="C490" s="37"/>
      <c r="H490" s="46"/>
      <c r="I490" s="46"/>
      <c r="J490" s="37"/>
      <c r="K490" s="37"/>
    </row>
    <row r="491">
      <c r="C491" s="37"/>
      <c r="H491" s="46"/>
      <c r="I491" s="46"/>
      <c r="J491" s="37"/>
      <c r="K491" s="37"/>
    </row>
    <row r="492">
      <c r="C492" s="37"/>
      <c r="H492" s="46"/>
      <c r="I492" s="46"/>
      <c r="J492" s="37"/>
      <c r="K492" s="37"/>
    </row>
    <row r="493">
      <c r="C493" s="37"/>
      <c r="H493" s="46"/>
      <c r="I493" s="46"/>
      <c r="J493" s="37"/>
      <c r="K493" s="37"/>
    </row>
    <row r="494">
      <c r="C494" s="37"/>
      <c r="H494" s="46"/>
      <c r="I494" s="46"/>
      <c r="J494" s="37"/>
      <c r="K494" s="37"/>
    </row>
    <row r="495">
      <c r="C495" s="37"/>
      <c r="H495" s="46"/>
      <c r="I495" s="46"/>
      <c r="J495" s="37"/>
      <c r="K495" s="37"/>
    </row>
    <row r="496">
      <c r="C496" s="37"/>
      <c r="H496" s="46"/>
      <c r="I496" s="46"/>
      <c r="J496" s="37"/>
      <c r="K496" s="37"/>
    </row>
    <row r="497">
      <c r="C497" s="37"/>
      <c r="H497" s="46"/>
      <c r="I497" s="46"/>
      <c r="J497" s="37"/>
      <c r="K497" s="37"/>
    </row>
    <row r="498">
      <c r="C498" s="37"/>
      <c r="H498" s="46"/>
      <c r="I498" s="46"/>
      <c r="J498" s="37"/>
      <c r="K498" s="37"/>
    </row>
    <row r="499">
      <c r="C499" s="37"/>
      <c r="H499" s="46"/>
      <c r="I499" s="46"/>
      <c r="J499" s="37"/>
      <c r="K499" s="37"/>
    </row>
    <row r="500">
      <c r="C500" s="37"/>
      <c r="H500" s="46"/>
      <c r="I500" s="46"/>
      <c r="J500" s="37"/>
      <c r="K500" s="37"/>
    </row>
    <row r="501">
      <c r="C501" s="37"/>
      <c r="H501" s="46"/>
      <c r="I501" s="46"/>
      <c r="J501" s="37"/>
      <c r="K501" s="37"/>
    </row>
    <row r="502">
      <c r="C502" s="37"/>
      <c r="H502" s="46"/>
      <c r="I502" s="46"/>
      <c r="J502" s="37"/>
      <c r="K502" s="37"/>
    </row>
    <row r="503">
      <c r="C503" s="37"/>
      <c r="H503" s="46"/>
      <c r="I503" s="46"/>
      <c r="J503" s="37"/>
      <c r="K503" s="37"/>
    </row>
    <row r="504">
      <c r="C504" s="37"/>
      <c r="H504" s="46"/>
      <c r="I504" s="46"/>
      <c r="J504" s="37"/>
      <c r="K504" s="37"/>
    </row>
    <row r="505">
      <c r="C505" s="37"/>
      <c r="H505" s="46"/>
      <c r="I505" s="46"/>
      <c r="J505" s="37"/>
      <c r="K505" s="37"/>
    </row>
    <row r="506">
      <c r="C506" s="37"/>
      <c r="H506" s="46"/>
      <c r="I506" s="46"/>
      <c r="J506" s="37"/>
      <c r="K506" s="37"/>
    </row>
    <row r="507">
      <c r="C507" s="37"/>
      <c r="H507" s="46"/>
      <c r="I507" s="46"/>
      <c r="J507" s="37"/>
      <c r="K507" s="37"/>
    </row>
    <row r="508">
      <c r="C508" s="37"/>
      <c r="H508" s="46"/>
      <c r="I508" s="46"/>
      <c r="J508" s="37"/>
      <c r="K508" s="37"/>
    </row>
    <row r="509">
      <c r="C509" s="37"/>
      <c r="H509" s="46"/>
      <c r="I509" s="46"/>
      <c r="J509" s="37"/>
      <c r="K509" s="37"/>
    </row>
    <row r="510">
      <c r="C510" s="37"/>
      <c r="H510" s="46"/>
      <c r="I510" s="46"/>
      <c r="J510" s="37"/>
      <c r="K510" s="37"/>
    </row>
    <row r="511">
      <c r="C511" s="37"/>
      <c r="H511" s="46"/>
      <c r="I511" s="46"/>
      <c r="J511" s="37"/>
      <c r="K511" s="37"/>
    </row>
    <row r="512">
      <c r="C512" s="37"/>
      <c r="H512" s="46"/>
      <c r="I512" s="46"/>
      <c r="J512" s="37"/>
      <c r="K512" s="37"/>
    </row>
    <row r="513">
      <c r="C513" s="37"/>
      <c r="H513" s="46"/>
      <c r="I513" s="46"/>
      <c r="J513" s="37"/>
      <c r="K513" s="37"/>
    </row>
    <row r="514">
      <c r="C514" s="37"/>
      <c r="H514" s="46"/>
      <c r="I514" s="46"/>
      <c r="J514" s="37"/>
      <c r="K514" s="37"/>
    </row>
    <row r="515">
      <c r="C515" s="37"/>
      <c r="H515" s="46"/>
      <c r="I515" s="46"/>
      <c r="J515" s="37"/>
      <c r="K515" s="37"/>
    </row>
    <row r="516">
      <c r="C516" s="37"/>
      <c r="H516" s="46"/>
      <c r="I516" s="46"/>
      <c r="J516" s="37"/>
      <c r="K516" s="37"/>
    </row>
    <row r="517">
      <c r="C517" s="37"/>
      <c r="H517" s="46"/>
      <c r="I517" s="46"/>
      <c r="J517" s="37"/>
      <c r="K517" s="37"/>
    </row>
    <row r="518">
      <c r="C518" s="37"/>
      <c r="H518" s="46"/>
      <c r="I518" s="46"/>
      <c r="J518" s="37"/>
      <c r="K518" s="37"/>
    </row>
    <row r="519">
      <c r="C519" s="37"/>
      <c r="H519" s="46"/>
      <c r="I519" s="46"/>
      <c r="J519" s="37"/>
      <c r="K519" s="37"/>
    </row>
    <row r="520">
      <c r="C520" s="37"/>
      <c r="H520" s="46"/>
      <c r="I520" s="46"/>
      <c r="J520" s="37"/>
      <c r="K520" s="37"/>
    </row>
    <row r="521">
      <c r="C521" s="37"/>
      <c r="H521" s="46"/>
      <c r="I521" s="46"/>
      <c r="J521" s="37"/>
      <c r="K521" s="37"/>
    </row>
    <row r="522">
      <c r="C522" s="37"/>
      <c r="H522" s="46"/>
      <c r="I522" s="46"/>
      <c r="J522" s="37"/>
      <c r="K522" s="37"/>
    </row>
    <row r="523">
      <c r="C523" s="37"/>
      <c r="H523" s="46"/>
      <c r="I523" s="46"/>
      <c r="J523" s="37"/>
      <c r="K523" s="37"/>
    </row>
    <row r="524">
      <c r="C524" s="37"/>
      <c r="H524" s="46"/>
      <c r="I524" s="46"/>
      <c r="J524" s="37"/>
      <c r="K524" s="37"/>
    </row>
    <row r="525">
      <c r="C525" s="37"/>
      <c r="H525" s="46"/>
      <c r="I525" s="46"/>
      <c r="J525" s="37"/>
      <c r="K525" s="37"/>
    </row>
    <row r="526">
      <c r="C526" s="37"/>
      <c r="H526" s="46"/>
      <c r="I526" s="46"/>
      <c r="J526" s="37"/>
      <c r="K526" s="37"/>
    </row>
    <row r="527">
      <c r="C527" s="37"/>
      <c r="H527" s="46"/>
      <c r="I527" s="46"/>
      <c r="J527" s="37"/>
      <c r="K527" s="37"/>
    </row>
    <row r="528">
      <c r="C528" s="37"/>
      <c r="H528" s="46"/>
      <c r="I528" s="46"/>
      <c r="J528" s="37"/>
      <c r="K528" s="37"/>
    </row>
    <row r="529">
      <c r="C529" s="37"/>
      <c r="H529" s="46"/>
      <c r="I529" s="46"/>
      <c r="J529" s="37"/>
      <c r="K529" s="37"/>
    </row>
    <row r="530">
      <c r="C530" s="37"/>
      <c r="H530" s="46"/>
      <c r="I530" s="46"/>
      <c r="J530" s="37"/>
      <c r="K530" s="37"/>
    </row>
    <row r="531">
      <c r="C531" s="37"/>
      <c r="H531" s="46"/>
      <c r="I531" s="46"/>
      <c r="J531" s="37"/>
      <c r="K531" s="37"/>
    </row>
    <row r="532">
      <c r="C532" s="37"/>
      <c r="H532" s="46"/>
      <c r="I532" s="46"/>
      <c r="J532" s="37"/>
      <c r="K532" s="37"/>
    </row>
    <row r="533">
      <c r="C533" s="37"/>
      <c r="H533" s="46"/>
      <c r="I533" s="46"/>
      <c r="J533" s="37"/>
      <c r="K533" s="37"/>
    </row>
    <row r="534">
      <c r="C534" s="37"/>
      <c r="H534" s="46"/>
      <c r="I534" s="46"/>
      <c r="J534" s="37"/>
      <c r="K534" s="37"/>
    </row>
    <row r="535">
      <c r="C535" s="37"/>
      <c r="H535" s="46"/>
      <c r="I535" s="46"/>
      <c r="J535" s="37"/>
      <c r="K535" s="37"/>
    </row>
    <row r="536">
      <c r="C536" s="37"/>
      <c r="H536" s="46"/>
      <c r="I536" s="46"/>
      <c r="J536" s="37"/>
      <c r="K536" s="37"/>
    </row>
    <row r="537">
      <c r="C537" s="37"/>
      <c r="H537" s="46"/>
      <c r="I537" s="46"/>
      <c r="J537" s="37"/>
      <c r="K537" s="37"/>
    </row>
    <row r="538">
      <c r="C538" s="37"/>
      <c r="H538" s="46"/>
      <c r="I538" s="46"/>
      <c r="J538" s="37"/>
      <c r="K538" s="37"/>
    </row>
    <row r="539">
      <c r="C539" s="37"/>
      <c r="H539" s="46"/>
      <c r="I539" s="46"/>
      <c r="J539" s="37"/>
      <c r="K539" s="37"/>
    </row>
    <row r="540">
      <c r="C540" s="37"/>
      <c r="H540" s="46"/>
      <c r="I540" s="46"/>
      <c r="J540" s="37"/>
      <c r="K540" s="37"/>
    </row>
    <row r="541">
      <c r="C541" s="37"/>
      <c r="H541" s="46"/>
      <c r="I541" s="46"/>
      <c r="J541" s="37"/>
      <c r="K541" s="37"/>
    </row>
    <row r="542">
      <c r="C542" s="37"/>
      <c r="H542" s="46"/>
      <c r="I542" s="46"/>
      <c r="J542" s="37"/>
      <c r="K542" s="37"/>
    </row>
    <row r="543">
      <c r="C543" s="37"/>
      <c r="H543" s="46"/>
      <c r="I543" s="46"/>
      <c r="J543" s="37"/>
      <c r="K543" s="37"/>
    </row>
    <row r="544">
      <c r="C544" s="37"/>
      <c r="H544" s="46"/>
      <c r="I544" s="46"/>
      <c r="J544" s="37"/>
      <c r="K544" s="37"/>
    </row>
    <row r="545">
      <c r="C545" s="37"/>
      <c r="H545" s="46"/>
      <c r="I545" s="46"/>
      <c r="J545" s="37"/>
      <c r="K545" s="37"/>
    </row>
    <row r="546">
      <c r="C546" s="37"/>
      <c r="H546" s="46"/>
      <c r="I546" s="46"/>
      <c r="J546" s="37"/>
      <c r="K546" s="37"/>
    </row>
    <row r="547">
      <c r="C547" s="37"/>
      <c r="H547" s="46"/>
      <c r="I547" s="46"/>
      <c r="J547" s="37"/>
      <c r="K547" s="37"/>
    </row>
    <row r="548">
      <c r="C548" s="37"/>
      <c r="H548" s="46"/>
      <c r="I548" s="46"/>
      <c r="J548" s="37"/>
      <c r="K548" s="37"/>
    </row>
    <row r="549">
      <c r="C549" s="37"/>
      <c r="H549" s="46"/>
      <c r="I549" s="46"/>
      <c r="J549" s="37"/>
      <c r="K549" s="37"/>
    </row>
    <row r="550">
      <c r="C550" s="37"/>
      <c r="H550" s="46"/>
      <c r="I550" s="46"/>
      <c r="J550" s="37"/>
      <c r="K550" s="37"/>
    </row>
    <row r="551">
      <c r="C551" s="37"/>
      <c r="H551" s="46"/>
      <c r="I551" s="46"/>
      <c r="J551" s="37"/>
      <c r="K551" s="37"/>
    </row>
    <row r="552">
      <c r="C552" s="37"/>
      <c r="H552" s="46"/>
      <c r="I552" s="46"/>
      <c r="J552" s="37"/>
      <c r="K552" s="37"/>
    </row>
    <row r="553">
      <c r="C553" s="37"/>
      <c r="H553" s="46"/>
      <c r="I553" s="46"/>
      <c r="J553" s="37"/>
      <c r="K553" s="37"/>
    </row>
    <row r="554">
      <c r="C554" s="37"/>
      <c r="H554" s="46"/>
      <c r="I554" s="46"/>
      <c r="J554" s="37"/>
      <c r="K554" s="37"/>
    </row>
    <row r="555">
      <c r="C555" s="37"/>
      <c r="H555" s="46"/>
      <c r="I555" s="46"/>
      <c r="J555" s="37"/>
      <c r="K555" s="37"/>
    </row>
    <row r="556">
      <c r="C556" s="37"/>
      <c r="H556" s="46"/>
      <c r="I556" s="46"/>
      <c r="J556" s="37"/>
      <c r="K556" s="37"/>
    </row>
    <row r="557">
      <c r="C557" s="37"/>
      <c r="H557" s="46"/>
      <c r="I557" s="46"/>
      <c r="J557" s="37"/>
      <c r="K557" s="37"/>
    </row>
    <row r="558">
      <c r="C558" s="37"/>
      <c r="H558" s="46"/>
      <c r="I558" s="46"/>
      <c r="J558" s="37"/>
      <c r="K558" s="37"/>
    </row>
    <row r="559">
      <c r="C559" s="37"/>
      <c r="H559" s="46"/>
      <c r="I559" s="46"/>
      <c r="J559" s="37"/>
      <c r="K559" s="37"/>
    </row>
    <row r="560">
      <c r="C560" s="37"/>
      <c r="H560" s="46"/>
      <c r="I560" s="46"/>
      <c r="J560" s="37"/>
      <c r="K560" s="37"/>
    </row>
    <row r="561">
      <c r="C561" s="37"/>
      <c r="H561" s="46"/>
      <c r="I561" s="46"/>
      <c r="J561" s="37"/>
      <c r="K561" s="37"/>
    </row>
    <row r="562">
      <c r="C562" s="37"/>
      <c r="H562" s="46"/>
      <c r="I562" s="46"/>
      <c r="J562" s="37"/>
      <c r="K562" s="37"/>
    </row>
    <row r="563">
      <c r="C563" s="37"/>
      <c r="H563" s="46"/>
      <c r="I563" s="46"/>
      <c r="J563" s="37"/>
      <c r="K563" s="37"/>
    </row>
    <row r="564">
      <c r="C564" s="37"/>
      <c r="H564" s="46"/>
      <c r="I564" s="46"/>
      <c r="J564" s="37"/>
      <c r="K564" s="37"/>
    </row>
    <row r="565">
      <c r="C565" s="37"/>
      <c r="H565" s="46"/>
      <c r="I565" s="46"/>
      <c r="J565" s="37"/>
      <c r="K565" s="37"/>
    </row>
    <row r="566">
      <c r="C566" s="37"/>
      <c r="H566" s="46"/>
      <c r="I566" s="46"/>
      <c r="J566" s="37"/>
      <c r="K566" s="37"/>
    </row>
    <row r="567">
      <c r="C567" s="37"/>
      <c r="H567" s="46"/>
      <c r="I567" s="46"/>
      <c r="J567" s="37"/>
      <c r="K567" s="37"/>
    </row>
    <row r="568">
      <c r="C568" s="37"/>
      <c r="H568" s="46"/>
      <c r="I568" s="46"/>
      <c r="J568" s="37"/>
      <c r="K568" s="37"/>
    </row>
    <row r="569">
      <c r="C569" s="37"/>
      <c r="H569" s="46"/>
      <c r="I569" s="46"/>
      <c r="J569" s="37"/>
      <c r="K569" s="37"/>
    </row>
    <row r="570">
      <c r="C570" s="37"/>
      <c r="H570" s="46"/>
      <c r="I570" s="46"/>
      <c r="J570" s="37"/>
      <c r="K570" s="37"/>
    </row>
    <row r="571">
      <c r="C571" s="37"/>
      <c r="H571" s="46"/>
      <c r="I571" s="46"/>
      <c r="J571" s="37"/>
      <c r="K571" s="37"/>
    </row>
    <row r="572">
      <c r="C572" s="37"/>
      <c r="H572" s="46"/>
      <c r="I572" s="46"/>
      <c r="J572" s="37"/>
      <c r="K572" s="37"/>
    </row>
    <row r="573">
      <c r="C573" s="37"/>
      <c r="H573" s="46"/>
      <c r="I573" s="46"/>
      <c r="J573" s="37"/>
      <c r="K573" s="37"/>
    </row>
    <row r="574">
      <c r="C574" s="37"/>
      <c r="H574" s="46"/>
      <c r="I574" s="46"/>
      <c r="J574" s="37"/>
      <c r="K574" s="37"/>
    </row>
    <row r="575">
      <c r="C575" s="37"/>
      <c r="H575" s="46"/>
      <c r="I575" s="46"/>
      <c r="J575" s="37"/>
      <c r="K575" s="37"/>
    </row>
    <row r="576">
      <c r="C576" s="37"/>
      <c r="H576" s="46"/>
      <c r="I576" s="46"/>
      <c r="J576" s="37"/>
      <c r="K576" s="37"/>
    </row>
    <row r="577">
      <c r="C577" s="37"/>
      <c r="H577" s="46"/>
      <c r="I577" s="46"/>
      <c r="J577" s="37"/>
      <c r="K577" s="37"/>
    </row>
    <row r="578">
      <c r="C578" s="37"/>
      <c r="H578" s="46"/>
      <c r="I578" s="46"/>
      <c r="J578" s="37"/>
      <c r="K578" s="37"/>
    </row>
    <row r="579">
      <c r="C579" s="37"/>
      <c r="H579" s="46"/>
      <c r="I579" s="46"/>
      <c r="J579" s="37"/>
      <c r="K579" s="37"/>
    </row>
    <row r="580">
      <c r="C580" s="37"/>
      <c r="H580" s="46"/>
      <c r="I580" s="46"/>
      <c r="J580" s="37"/>
      <c r="K580" s="37"/>
    </row>
    <row r="581">
      <c r="C581" s="37"/>
      <c r="H581" s="46"/>
      <c r="I581" s="46"/>
      <c r="J581" s="37"/>
      <c r="K581" s="37"/>
    </row>
    <row r="582">
      <c r="C582" s="37"/>
      <c r="H582" s="46"/>
      <c r="I582" s="46"/>
      <c r="J582" s="37"/>
      <c r="K582" s="37"/>
    </row>
    <row r="583">
      <c r="C583" s="37"/>
      <c r="H583" s="46"/>
      <c r="I583" s="46"/>
      <c r="J583" s="37"/>
      <c r="K583" s="37"/>
    </row>
    <row r="584">
      <c r="C584" s="37"/>
      <c r="H584" s="46"/>
      <c r="I584" s="46"/>
      <c r="J584" s="37"/>
      <c r="K584" s="37"/>
    </row>
    <row r="585">
      <c r="C585" s="37"/>
      <c r="H585" s="46"/>
      <c r="I585" s="46"/>
      <c r="J585" s="37"/>
      <c r="K585" s="37"/>
    </row>
    <row r="586">
      <c r="C586" s="37"/>
      <c r="H586" s="46"/>
      <c r="I586" s="46"/>
      <c r="J586" s="37"/>
      <c r="K586" s="37"/>
    </row>
    <row r="587">
      <c r="C587" s="37"/>
      <c r="H587" s="46"/>
      <c r="I587" s="46"/>
      <c r="J587" s="37"/>
      <c r="K587" s="37"/>
    </row>
    <row r="588">
      <c r="C588" s="37"/>
      <c r="H588" s="46"/>
      <c r="I588" s="46"/>
      <c r="J588" s="37"/>
      <c r="K588" s="37"/>
    </row>
    <row r="589">
      <c r="C589" s="37"/>
      <c r="H589" s="46"/>
      <c r="I589" s="46"/>
      <c r="J589" s="37"/>
      <c r="K589" s="37"/>
    </row>
    <row r="590">
      <c r="C590" s="37"/>
      <c r="H590" s="46"/>
      <c r="I590" s="46"/>
      <c r="J590" s="37"/>
      <c r="K590" s="37"/>
    </row>
    <row r="591">
      <c r="C591" s="37"/>
      <c r="H591" s="46"/>
      <c r="I591" s="46"/>
      <c r="J591" s="37"/>
      <c r="K591" s="37"/>
    </row>
    <row r="592">
      <c r="C592" s="37"/>
      <c r="H592" s="46"/>
      <c r="I592" s="46"/>
      <c r="J592" s="37"/>
      <c r="K592" s="37"/>
    </row>
    <row r="593">
      <c r="C593" s="37"/>
      <c r="H593" s="46"/>
      <c r="I593" s="46"/>
      <c r="J593" s="37"/>
      <c r="K593" s="37"/>
    </row>
    <row r="594">
      <c r="C594" s="37"/>
      <c r="H594" s="46"/>
      <c r="I594" s="46"/>
      <c r="J594" s="37"/>
      <c r="K594" s="37"/>
    </row>
    <row r="595">
      <c r="C595" s="37"/>
      <c r="H595" s="46"/>
      <c r="I595" s="46"/>
      <c r="J595" s="37"/>
      <c r="K595" s="37"/>
    </row>
    <row r="596">
      <c r="C596" s="37"/>
      <c r="H596" s="46"/>
      <c r="I596" s="46"/>
      <c r="J596" s="37"/>
      <c r="K596" s="37"/>
    </row>
    <row r="597">
      <c r="C597" s="37"/>
      <c r="H597" s="46"/>
      <c r="I597" s="46"/>
      <c r="J597" s="37"/>
      <c r="K597" s="37"/>
    </row>
    <row r="598">
      <c r="C598" s="37"/>
      <c r="H598" s="46"/>
      <c r="I598" s="46"/>
      <c r="J598" s="37"/>
      <c r="K598" s="37"/>
    </row>
    <row r="599">
      <c r="C599" s="37"/>
      <c r="H599" s="46"/>
      <c r="I599" s="46"/>
      <c r="J599" s="37"/>
      <c r="K599" s="37"/>
    </row>
    <row r="600">
      <c r="C600" s="37"/>
      <c r="H600" s="46"/>
      <c r="I600" s="46"/>
      <c r="J600" s="37"/>
      <c r="K600" s="37"/>
    </row>
    <row r="601">
      <c r="C601" s="37"/>
      <c r="H601" s="46"/>
      <c r="I601" s="46"/>
      <c r="J601" s="37"/>
      <c r="K601" s="37"/>
    </row>
    <row r="602">
      <c r="C602" s="37"/>
      <c r="H602" s="46"/>
      <c r="I602" s="46"/>
      <c r="J602" s="37"/>
      <c r="K602" s="37"/>
    </row>
    <row r="603">
      <c r="C603" s="37"/>
      <c r="H603" s="46"/>
      <c r="I603" s="46"/>
      <c r="J603" s="37"/>
      <c r="K603" s="37"/>
    </row>
    <row r="604">
      <c r="C604" s="37"/>
      <c r="H604" s="46"/>
      <c r="I604" s="46"/>
      <c r="J604" s="37"/>
      <c r="K604" s="37"/>
    </row>
    <row r="605">
      <c r="C605" s="37"/>
      <c r="H605" s="46"/>
      <c r="I605" s="46"/>
      <c r="J605" s="37"/>
      <c r="K605" s="37"/>
    </row>
    <row r="606">
      <c r="C606" s="37"/>
      <c r="H606" s="46"/>
      <c r="I606" s="46"/>
      <c r="J606" s="37"/>
      <c r="K606" s="37"/>
    </row>
    <row r="607">
      <c r="C607" s="37"/>
      <c r="H607" s="46"/>
      <c r="I607" s="46"/>
      <c r="J607" s="37"/>
      <c r="K607" s="37"/>
    </row>
    <row r="608">
      <c r="C608" s="37"/>
      <c r="H608" s="46"/>
      <c r="I608" s="46"/>
      <c r="J608" s="37"/>
      <c r="K608" s="37"/>
    </row>
    <row r="609">
      <c r="C609" s="37"/>
      <c r="H609" s="46"/>
      <c r="I609" s="46"/>
      <c r="J609" s="37"/>
      <c r="K609" s="37"/>
    </row>
    <row r="610">
      <c r="C610" s="37"/>
      <c r="H610" s="46"/>
      <c r="I610" s="46"/>
      <c r="J610" s="37"/>
      <c r="K610" s="37"/>
    </row>
    <row r="611">
      <c r="C611" s="37"/>
      <c r="H611" s="46"/>
      <c r="I611" s="46"/>
      <c r="J611" s="37"/>
      <c r="K611" s="37"/>
    </row>
    <row r="612">
      <c r="C612" s="37"/>
      <c r="H612" s="46"/>
      <c r="I612" s="46"/>
      <c r="J612" s="37"/>
      <c r="K612" s="37"/>
    </row>
    <row r="613">
      <c r="C613" s="37"/>
      <c r="H613" s="46"/>
      <c r="I613" s="46"/>
      <c r="J613" s="37"/>
      <c r="K613" s="37"/>
    </row>
    <row r="614">
      <c r="C614" s="37"/>
      <c r="H614" s="46"/>
      <c r="I614" s="46"/>
      <c r="J614" s="37"/>
      <c r="K614" s="37"/>
    </row>
    <row r="615">
      <c r="C615" s="37"/>
      <c r="H615" s="46"/>
      <c r="I615" s="46"/>
      <c r="J615" s="37"/>
      <c r="K615" s="37"/>
    </row>
    <row r="616">
      <c r="C616" s="37"/>
      <c r="H616" s="46"/>
      <c r="I616" s="46"/>
      <c r="J616" s="37"/>
      <c r="K616" s="37"/>
    </row>
    <row r="617">
      <c r="C617" s="37"/>
      <c r="H617" s="46"/>
      <c r="I617" s="46"/>
      <c r="J617" s="37"/>
      <c r="K617" s="37"/>
    </row>
    <row r="618">
      <c r="C618" s="37"/>
      <c r="H618" s="46"/>
      <c r="I618" s="46"/>
      <c r="J618" s="37"/>
      <c r="K618" s="37"/>
    </row>
    <row r="619">
      <c r="C619" s="37"/>
      <c r="H619" s="46"/>
      <c r="I619" s="46"/>
      <c r="J619" s="37"/>
      <c r="K619" s="37"/>
    </row>
    <row r="620">
      <c r="C620" s="37"/>
      <c r="H620" s="46"/>
      <c r="I620" s="46"/>
      <c r="J620" s="37"/>
      <c r="K620" s="37"/>
    </row>
    <row r="621">
      <c r="C621" s="37"/>
      <c r="H621" s="46"/>
      <c r="I621" s="46"/>
      <c r="J621" s="37"/>
      <c r="K621" s="37"/>
    </row>
    <row r="622">
      <c r="C622" s="37"/>
      <c r="H622" s="46"/>
      <c r="I622" s="46"/>
      <c r="J622" s="37"/>
      <c r="K622" s="37"/>
    </row>
    <row r="623">
      <c r="C623" s="37"/>
      <c r="H623" s="46"/>
      <c r="I623" s="46"/>
      <c r="J623" s="37"/>
      <c r="K623" s="37"/>
    </row>
    <row r="624">
      <c r="C624" s="37"/>
      <c r="H624" s="46"/>
      <c r="I624" s="46"/>
      <c r="J624" s="37"/>
      <c r="K624" s="37"/>
    </row>
    <row r="625">
      <c r="C625" s="37"/>
      <c r="H625" s="46"/>
      <c r="I625" s="46"/>
      <c r="J625" s="37"/>
      <c r="K625" s="37"/>
    </row>
    <row r="626">
      <c r="C626" s="37"/>
      <c r="H626" s="46"/>
      <c r="I626" s="46"/>
      <c r="J626" s="37"/>
      <c r="K626" s="37"/>
    </row>
    <row r="627">
      <c r="C627" s="37"/>
      <c r="H627" s="46"/>
      <c r="I627" s="46"/>
      <c r="J627" s="37"/>
      <c r="K627" s="37"/>
    </row>
    <row r="628">
      <c r="C628" s="37"/>
      <c r="H628" s="46"/>
      <c r="I628" s="46"/>
      <c r="J628" s="37"/>
      <c r="K628" s="37"/>
    </row>
    <row r="629">
      <c r="C629" s="37"/>
      <c r="H629" s="46"/>
      <c r="I629" s="46"/>
      <c r="J629" s="37"/>
      <c r="K629" s="37"/>
    </row>
    <row r="630">
      <c r="C630" s="37"/>
      <c r="H630" s="46"/>
      <c r="I630" s="46"/>
      <c r="J630" s="37"/>
      <c r="K630" s="37"/>
    </row>
    <row r="631">
      <c r="C631" s="37"/>
      <c r="H631" s="46"/>
      <c r="I631" s="46"/>
      <c r="J631" s="37"/>
      <c r="K631" s="37"/>
    </row>
    <row r="632">
      <c r="C632" s="37"/>
      <c r="H632" s="46"/>
      <c r="I632" s="46"/>
      <c r="J632" s="37"/>
      <c r="K632" s="37"/>
    </row>
    <row r="633">
      <c r="C633" s="37"/>
      <c r="H633" s="46"/>
      <c r="I633" s="46"/>
      <c r="J633" s="37"/>
      <c r="K633" s="37"/>
    </row>
    <row r="634">
      <c r="C634" s="37"/>
      <c r="H634" s="46"/>
      <c r="I634" s="46"/>
      <c r="J634" s="37"/>
      <c r="K634" s="37"/>
    </row>
    <row r="635">
      <c r="C635" s="37"/>
      <c r="H635" s="46"/>
      <c r="I635" s="46"/>
      <c r="J635" s="37"/>
      <c r="K635" s="37"/>
    </row>
    <row r="636">
      <c r="C636" s="37"/>
      <c r="H636" s="46"/>
      <c r="I636" s="46"/>
      <c r="J636" s="37"/>
      <c r="K636" s="37"/>
    </row>
    <row r="637">
      <c r="C637" s="37"/>
      <c r="H637" s="46"/>
      <c r="I637" s="46"/>
      <c r="J637" s="37"/>
      <c r="K637" s="37"/>
    </row>
    <row r="638">
      <c r="C638" s="37"/>
      <c r="H638" s="46"/>
      <c r="I638" s="46"/>
      <c r="J638" s="37"/>
      <c r="K638" s="37"/>
    </row>
    <row r="639">
      <c r="C639" s="37"/>
      <c r="H639" s="46"/>
      <c r="I639" s="46"/>
      <c r="J639" s="37"/>
      <c r="K639" s="37"/>
    </row>
    <row r="640">
      <c r="C640" s="37"/>
      <c r="H640" s="46"/>
      <c r="I640" s="46"/>
      <c r="J640" s="37"/>
      <c r="K640" s="37"/>
    </row>
    <row r="641">
      <c r="C641" s="37"/>
      <c r="H641" s="46"/>
      <c r="I641" s="46"/>
      <c r="J641" s="37"/>
      <c r="K641" s="37"/>
    </row>
    <row r="642">
      <c r="C642" s="37"/>
      <c r="H642" s="46"/>
      <c r="I642" s="46"/>
      <c r="J642" s="37"/>
      <c r="K642" s="37"/>
    </row>
    <row r="643">
      <c r="C643" s="37"/>
      <c r="H643" s="46"/>
      <c r="I643" s="46"/>
      <c r="J643" s="37"/>
      <c r="K643" s="37"/>
    </row>
    <row r="644">
      <c r="C644" s="37"/>
      <c r="H644" s="46"/>
      <c r="I644" s="46"/>
      <c r="J644" s="37"/>
      <c r="K644" s="37"/>
    </row>
    <row r="645">
      <c r="C645" s="37"/>
      <c r="H645" s="46"/>
      <c r="I645" s="46"/>
      <c r="J645" s="37"/>
      <c r="K645" s="37"/>
    </row>
    <row r="646">
      <c r="C646" s="37"/>
      <c r="H646" s="46"/>
      <c r="I646" s="46"/>
      <c r="J646" s="37"/>
      <c r="K646" s="37"/>
    </row>
    <row r="647">
      <c r="C647" s="37"/>
      <c r="H647" s="46"/>
      <c r="I647" s="46"/>
      <c r="J647" s="37"/>
      <c r="K647" s="37"/>
    </row>
    <row r="648">
      <c r="C648" s="37"/>
      <c r="H648" s="46"/>
      <c r="I648" s="46"/>
      <c r="J648" s="37"/>
      <c r="K648" s="37"/>
    </row>
    <row r="649">
      <c r="C649" s="37"/>
      <c r="H649" s="46"/>
      <c r="I649" s="46"/>
      <c r="J649" s="37"/>
      <c r="K649" s="37"/>
    </row>
    <row r="650">
      <c r="C650" s="37"/>
      <c r="H650" s="46"/>
      <c r="I650" s="46"/>
      <c r="J650" s="37"/>
      <c r="K650" s="37"/>
    </row>
    <row r="651">
      <c r="C651" s="37"/>
      <c r="H651" s="46"/>
      <c r="I651" s="46"/>
      <c r="J651" s="37"/>
      <c r="K651" s="37"/>
    </row>
    <row r="652">
      <c r="C652" s="37"/>
      <c r="H652" s="46"/>
      <c r="I652" s="46"/>
      <c r="J652" s="37"/>
      <c r="K652" s="37"/>
    </row>
    <row r="653">
      <c r="C653" s="37"/>
      <c r="H653" s="46"/>
      <c r="I653" s="46"/>
      <c r="J653" s="37"/>
      <c r="K653" s="37"/>
    </row>
    <row r="654">
      <c r="C654" s="37"/>
      <c r="H654" s="46"/>
      <c r="I654" s="46"/>
      <c r="J654" s="37"/>
      <c r="K654" s="37"/>
    </row>
    <row r="655">
      <c r="C655" s="37"/>
      <c r="H655" s="46"/>
      <c r="I655" s="46"/>
      <c r="J655" s="37"/>
      <c r="K655" s="37"/>
    </row>
    <row r="656">
      <c r="C656" s="37"/>
      <c r="H656" s="46"/>
      <c r="I656" s="46"/>
      <c r="J656" s="37"/>
      <c r="K656" s="37"/>
    </row>
    <row r="657">
      <c r="C657" s="37"/>
      <c r="H657" s="46"/>
      <c r="I657" s="46"/>
      <c r="J657" s="37"/>
      <c r="K657" s="37"/>
    </row>
    <row r="658">
      <c r="C658" s="37"/>
      <c r="H658" s="46"/>
      <c r="I658" s="46"/>
      <c r="J658" s="37"/>
      <c r="K658" s="37"/>
    </row>
    <row r="659">
      <c r="C659" s="37"/>
      <c r="H659" s="46"/>
      <c r="I659" s="46"/>
      <c r="J659" s="37"/>
      <c r="K659" s="37"/>
    </row>
    <row r="660">
      <c r="C660" s="37"/>
      <c r="H660" s="46"/>
      <c r="I660" s="46"/>
      <c r="J660" s="37"/>
      <c r="K660" s="37"/>
    </row>
    <row r="661">
      <c r="C661" s="37"/>
      <c r="H661" s="46"/>
      <c r="I661" s="46"/>
      <c r="J661" s="37"/>
      <c r="K661" s="37"/>
    </row>
    <row r="662">
      <c r="C662" s="37"/>
      <c r="H662" s="46"/>
      <c r="I662" s="46"/>
      <c r="J662" s="37"/>
      <c r="K662" s="37"/>
    </row>
    <row r="663">
      <c r="C663" s="37"/>
      <c r="H663" s="46"/>
      <c r="I663" s="46"/>
      <c r="J663" s="37"/>
      <c r="K663" s="37"/>
    </row>
    <row r="664">
      <c r="C664" s="37"/>
      <c r="H664" s="46"/>
      <c r="I664" s="46"/>
      <c r="J664" s="37"/>
      <c r="K664" s="37"/>
    </row>
    <row r="665">
      <c r="C665" s="37"/>
      <c r="H665" s="46"/>
      <c r="I665" s="46"/>
      <c r="J665" s="37"/>
      <c r="K665" s="37"/>
    </row>
    <row r="666">
      <c r="C666" s="37"/>
      <c r="H666" s="46"/>
      <c r="I666" s="46"/>
      <c r="J666" s="37"/>
      <c r="K666" s="37"/>
    </row>
    <row r="667">
      <c r="C667" s="37"/>
      <c r="H667" s="46"/>
      <c r="I667" s="46"/>
      <c r="J667" s="37"/>
      <c r="K667" s="37"/>
    </row>
    <row r="668">
      <c r="C668" s="37"/>
      <c r="H668" s="46"/>
      <c r="I668" s="46"/>
      <c r="J668" s="37"/>
      <c r="K668" s="37"/>
    </row>
    <row r="669">
      <c r="C669" s="37"/>
      <c r="H669" s="46"/>
      <c r="I669" s="46"/>
      <c r="J669" s="37"/>
      <c r="K669" s="37"/>
    </row>
    <row r="670">
      <c r="C670" s="37"/>
      <c r="H670" s="46"/>
      <c r="I670" s="46"/>
      <c r="J670" s="37"/>
      <c r="K670" s="37"/>
    </row>
    <row r="671">
      <c r="C671" s="37"/>
      <c r="H671" s="46"/>
      <c r="I671" s="46"/>
      <c r="J671" s="37"/>
      <c r="K671" s="37"/>
    </row>
    <row r="672">
      <c r="C672" s="37"/>
      <c r="H672" s="46"/>
      <c r="I672" s="46"/>
      <c r="J672" s="37"/>
      <c r="K672" s="37"/>
    </row>
    <row r="673">
      <c r="C673" s="37"/>
      <c r="H673" s="46"/>
      <c r="I673" s="46"/>
      <c r="J673" s="37"/>
      <c r="K673" s="37"/>
    </row>
    <row r="674">
      <c r="C674" s="37"/>
      <c r="H674" s="46"/>
      <c r="I674" s="46"/>
      <c r="J674" s="37"/>
      <c r="K674" s="37"/>
    </row>
    <row r="675">
      <c r="C675" s="37"/>
      <c r="H675" s="46"/>
      <c r="I675" s="46"/>
      <c r="J675" s="37"/>
      <c r="K675" s="37"/>
    </row>
    <row r="676">
      <c r="C676" s="37"/>
      <c r="H676" s="46"/>
      <c r="I676" s="46"/>
      <c r="J676" s="37"/>
      <c r="K676" s="37"/>
    </row>
    <row r="677">
      <c r="C677" s="37"/>
      <c r="H677" s="46"/>
      <c r="I677" s="46"/>
      <c r="J677" s="37"/>
      <c r="K677" s="37"/>
    </row>
    <row r="678">
      <c r="C678" s="37"/>
      <c r="H678" s="46"/>
      <c r="I678" s="46"/>
      <c r="J678" s="37"/>
      <c r="K678" s="37"/>
    </row>
    <row r="679">
      <c r="C679" s="37"/>
      <c r="H679" s="46"/>
      <c r="I679" s="46"/>
      <c r="J679" s="37"/>
      <c r="K679" s="37"/>
    </row>
    <row r="680">
      <c r="C680" s="37"/>
      <c r="H680" s="46"/>
      <c r="I680" s="46"/>
      <c r="J680" s="37"/>
      <c r="K680" s="37"/>
    </row>
    <row r="681">
      <c r="C681" s="37"/>
      <c r="H681" s="46"/>
      <c r="I681" s="46"/>
      <c r="J681" s="37"/>
      <c r="K681" s="37"/>
    </row>
    <row r="682">
      <c r="C682" s="37"/>
      <c r="H682" s="46"/>
      <c r="I682" s="46"/>
      <c r="J682" s="37"/>
      <c r="K682" s="37"/>
    </row>
    <row r="683">
      <c r="C683" s="37"/>
      <c r="H683" s="46"/>
      <c r="I683" s="46"/>
      <c r="J683" s="37"/>
      <c r="K683" s="37"/>
    </row>
    <row r="684">
      <c r="C684" s="37"/>
      <c r="H684" s="46"/>
      <c r="I684" s="46"/>
      <c r="J684" s="37"/>
      <c r="K684" s="37"/>
    </row>
    <row r="685">
      <c r="C685" s="37"/>
      <c r="H685" s="46"/>
      <c r="I685" s="46"/>
      <c r="J685" s="37"/>
      <c r="K685" s="37"/>
    </row>
    <row r="686">
      <c r="C686" s="37"/>
      <c r="H686" s="46"/>
      <c r="I686" s="46"/>
      <c r="J686" s="37"/>
      <c r="K686" s="37"/>
    </row>
    <row r="687">
      <c r="C687" s="37"/>
      <c r="H687" s="46"/>
      <c r="I687" s="46"/>
      <c r="J687" s="37"/>
      <c r="K687" s="37"/>
    </row>
    <row r="688">
      <c r="C688" s="37"/>
      <c r="H688" s="46"/>
      <c r="I688" s="46"/>
      <c r="J688" s="37"/>
      <c r="K688" s="37"/>
    </row>
    <row r="689">
      <c r="C689" s="37"/>
      <c r="H689" s="46"/>
      <c r="I689" s="46"/>
      <c r="J689" s="37"/>
      <c r="K689" s="37"/>
    </row>
    <row r="690">
      <c r="C690" s="37"/>
      <c r="H690" s="46"/>
      <c r="I690" s="46"/>
      <c r="J690" s="37"/>
      <c r="K690" s="37"/>
    </row>
    <row r="691">
      <c r="C691" s="37"/>
      <c r="H691" s="46"/>
      <c r="I691" s="46"/>
      <c r="J691" s="37"/>
      <c r="K691" s="37"/>
    </row>
    <row r="692">
      <c r="C692" s="37"/>
      <c r="H692" s="46"/>
      <c r="I692" s="46"/>
      <c r="J692" s="37"/>
      <c r="K692" s="37"/>
    </row>
    <row r="693">
      <c r="C693" s="37"/>
      <c r="H693" s="46"/>
      <c r="I693" s="46"/>
      <c r="J693" s="37"/>
      <c r="K693" s="37"/>
    </row>
    <row r="694">
      <c r="C694" s="37"/>
      <c r="H694" s="46"/>
      <c r="I694" s="46"/>
      <c r="J694" s="37"/>
      <c r="K694" s="37"/>
    </row>
    <row r="695">
      <c r="C695" s="37"/>
      <c r="H695" s="46"/>
      <c r="I695" s="46"/>
      <c r="J695" s="37"/>
      <c r="K695" s="37"/>
    </row>
    <row r="696">
      <c r="C696" s="37"/>
      <c r="H696" s="46"/>
      <c r="I696" s="46"/>
      <c r="J696" s="37"/>
      <c r="K696" s="37"/>
    </row>
    <row r="697">
      <c r="C697" s="37"/>
      <c r="H697" s="46"/>
      <c r="I697" s="46"/>
      <c r="J697" s="37"/>
      <c r="K697" s="37"/>
    </row>
    <row r="698">
      <c r="C698" s="37"/>
      <c r="H698" s="46"/>
      <c r="I698" s="46"/>
      <c r="J698" s="37"/>
      <c r="K698" s="37"/>
    </row>
    <row r="699">
      <c r="C699" s="37"/>
      <c r="H699" s="46"/>
      <c r="I699" s="46"/>
      <c r="J699" s="37"/>
      <c r="K699" s="37"/>
    </row>
    <row r="700">
      <c r="C700" s="37"/>
      <c r="H700" s="46"/>
      <c r="I700" s="46"/>
      <c r="J700" s="37"/>
      <c r="K700" s="37"/>
    </row>
    <row r="701">
      <c r="C701" s="37"/>
      <c r="H701" s="46"/>
      <c r="I701" s="46"/>
      <c r="J701" s="37"/>
      <c r="K701" s="37"/>
    </row>
    <row r="702">
      <c r="C702" s="37"/>
      <c r="H702" s="46"/>
      <c r="I702" s="46"/>
      <c r="J702" s="37"/>
      <c r="K702" s="37"/>
    </row>
    <row r="703">
      <c r="C703" s="37"/>
      <c r="H703" s="46"/>
      <c r="I703" s="46"/>
      <c r="J703" s="37"/>
      <c r="K703" s="37"/>
    </row>
    <row r="704">
      <c r="C704" s="37"/>
      <c r="H704" s="46"/>
      <c r="I704" s="46"/>
      <c r="J704" s="37"/>
      <c r="K704" s="37"/>
    </row>
    <row r="705">
      <c r="C705" s="37"/>
      <c r="H705" s="46"/>
      <c r="I705" s="46"/>
      <c r="J705" s="37"/>
      <c r="K705" s="37"/>
    </row>
    <row r="706">
      <c r="C706" s="37"/>
      <c r="H706" s="46"/>
      <c r="I706" s="46"/>
      <c r="J706" s="37"/>
      <c r="K706" s="37"/>
    </row>
    <row r="707">
      <c r="C707" s="37"/>
      <c r="H707" s="46"/>
      <c r="I707" s="46"/>
      <c r="J707" s="37"/>
      <c r="K707" s="37"/>
    </row>
    <row r="708">
      <c r="C708" s="37"/>
      <c r="H708" s="46"/>
      <c r="I708" s="46"/>
      <c r="J708" s="37"/>
      <c r="K708" s="37"/>
    </row>
    <row r="709">
      <c r="C709" s="37"/>
      <c r="H709" s="46"/>
      <c r="I709" s="46"/>
      <c r="J709" s="37"/>
      <c r="K709" s="37"/>
    </row>
    <row r="710">
      <c r="C710" s="37"/>
      <c r="H710" s="46"/>
      <c r="I710" s="46"/>
      <c r="J710" s="37"/>
      <c r="K710" s="37"/>
    </row>
    <row r="711">
      <c r="C711" s="37"/>
      <c r="H711" s="46"/>
      <c r="I711" s="46"/>
      <c r="J711" s="37"/>
      <c r="K711" s="37"/>
    </row>
    <row r="712">
      <c r="C712" s="37"/>
      <c r="H712" s="46"/>
      <c r="I712" s="46"/>
      <c r="J712" s="37"/>
      <c r="K712" s="37"/>
    </row>
    <row r="713">
      <c r="C713" s="37"/>
      <c r="H713" s="46"/>
      <c r="I713" s="46"/>
      <c r="J713" s="37"/>
      <c r="K713" s="37"/>
    </row>
    <row r="714">
      <c r="C714" s="37"/>
      <c r="H714" s="46"/>
      <c r="I714" s="46"/>
      <c r="J714" s="37"/>
      <c r="K714" s="37"/>
    </row>
    <row r="715">
      <c r="C715" s="37"/>
      <c r="H715" s="46"/>
      <c r="I715" s="46"/>
      <c r="J715" s="37"/>
      <c r="K715" s="37"/>
    </row>
    <row r="716">
      <c r="C716" s="37"/>
      <c r="H716" s="46"/>
      <c r="I716" s="46"/>
      <c r="J716" s="37"/>
      <c r="K716" s="37"/>
    </row>
    <row r="717">
      <c r="C717" s="37"/>
      <c r="H717" s="46"/>
      <c r="I717" s="46"/>
      <c r="J717" s="37"/>
      <c r="K717" s="37"/>
    </row>
    <row r="718">
      <c r="C718" s="37"/>
      <c r="H718" s="46"/>
      <c r="I718" s="46"/>
      <c r="J718" s="37"/>
      <c r="K718" s="37"/>
    </row>
    <row r="719">
      <c r="C719" s="37"/>
      <c r="H719" s="46"/>
      <c r="I719" s="46"/>
      <c r="J719" s="37"/>
      <c r="K719" s="37"/>
    </row>
    <row r="720">
      <c r="C720" s="37"/>
      <c r="H720" s="46"/>
      <c r="I720" s="46"/>
      <c r="J720" s="37"/>
      <c r="K720" s="37"/>
    </row>
    <row r="721">
      <c r="C721" s="37"/>
      <c r="H721" s="46"/>
      <c r="I721" s="46"/>
      <c r="J721" s="37"/>
      <c r="K721" s="37"/>
    </row>
    <row r="722">
      <c r="C722" s="37"/>
      <c r="H722" s="46"/>
      <c r="I722" s="46"/>
      <c r="J722" s="37"/>
      <c r="K722" s="37"/>
    </row>
    <row r="723">
      <c r="C723" s="37"/>
      <c r="H723" s="46"/>
      <c r="I723" s="46"/>
      <c r="J723" s="37"/>
      <c r="K723" s="37"/>
    </row>
    <row r="724">
      <c r="C724" s="37"/>
      <c r="H724" s="46"/>
      <c r="I724" s="46"/>
      <c r="J724" s="37"/>
      <c r="K724" s="37"/>
    </row>
    <row r="725">
      <c r="C725" s="37"/>
      <c r="H725" s="46"/>
      <c r="I725" s="46"/>
      <c r="J725" s="37"/>
      <c r="K725" s="37"/>
    </row>
    <row r="726">
      <c r="C726" s="37"/>
      <c r="H726" s="46"/>
      <c r="I726" s="46"/>
      <c r="J726" s="37"/>
      <c r="K726" s="37"/>
    </row>
    <row r="727">
      <c r="C727" s="37"/>
      <c r="H727" s="46"/>
      <c r="I727" s="46"/>
      <c r="J727" s="37"/>
      <c r="K727" s="37"/>
    </row>
    <row r="728">
      <c r="C728" s="37"/>
      <c r="H728" s="46"/>
      <c r="I728" s="46"/>
      <c r="J728" s="37"/>
      <c r="K728" s="37"/>
    </row>
    <row r="729">
      <c r="C729" s="37"/>
      <c r="H729" s="46"/>
      <c r="I729" s="46"/>
      <c r="J729" s="37"/>
      <c r="K729" s="37"/>
    </row>
    <row r="730">
      <c r="C730" s="37"/>
      <c r="H730" s="46"/>
      <c r="I730" s="46"/>
      <c r="J730" s="37"/>
      <c r="K730" s="37"/>
    </row>
    <row r="731">
      <c r="C731" s="37"/>
      <c r="H731" s="46"/>
      <c r="I731" s="46"/>
      <c r="J731" s="37"/>
      <c r="K731" s="37"/>
    </row>
    <row r="732">
      <c r="C732" s="37"/>
      <c r="H732" s="46"/>
      <c r="I732" s="46"/>
      <c r="J732" s="37"/>
      <c r="K732" s="37"/>
    </row>
    <row r="733">
      <c r="C733" s="37"/>
      <c r="H733" s="46"/>
      <c r="I733" s="46"/>
      <c r="J733" s="37"/>
      <c r="K733" s="37"/>
    </row>
    <row r="734">
      <c r="C734" s="37"/>
      <c r="H734" s="46"/>
      <c r="I734" s="46"/>
      <c r="J734" s="37"/>
      <c r="K734" s="37"/>
    </row>
    <row r="735">
      <c r="C735" s="37"/>
      <c r="H735" s="46"/>
      <c r="I735" s="46"/>
      <c r="J735" s="37"/>
      <c r="K735" s="37"/>
    </row>
    <row r="736">
      <c r="C736" s="37"/>
      <c r="H736" s="46"/>
      <c r="I736" s="46"/>
      <c r="J736" s="37"/>
      <c r="K736" s="37"/>
    </row>
    <row r="737">
      <c r="C737" s="37"/>
      <c r="H737" s="46"/>
      <c r="I737" s="46"/>
      <c r="J737" s="37"/>
      <c r="K737" s="37"/>
    </row>
    <row r="738">
      <c r="C738" s="37"/>
      <c r="H738" s="46"/>
      <c r="I738" s="46"/>
      <c r="J738" s="37"/>
      <c r="K738" s="37"/>
    </row>
    <row r="739">
      <c r="C739" s="37"/>
      <c r="H739" s="46"/>
      <c r="I739" s="46"/>
      <c r="J739" s="37"/>
      <c r="K739" s="37"/>
    </row>
    <row r="740">
      <c r="C740" s="37"/>
      <c r="H740" s="46"/>
      <c r="I740" s="46"/>
      <c r="J740" s="37"/>
      <c r="K740" s="37"/>
    </row>
    <row r="741">
      <c r="C741" s="37"/>
      <c r="H741" s="46"/>
      <c r="I741" s="46"/>
      <c r="J741" s="37"/>
      <c r="K741" s="37"/>
    </row>
    <row r="742">
      <c r="C742" s="37"/>
      <c r="H742" s="46"/>
      <c r="I742" s="46"/>
      <c r="J742" s="37"/>
      <c r="K742" s="37"/>
    </row>
    <row r="743">
      <c r="C743" s="37"/>
      <c r="H743" s="46"/>
      <c r="I743" s="46"/>
      <c r="J743" s="37"/>
      <c r="K743" s="37"/>
    </row>
    <row r="744">
      <c r="C744" s="37"/>
      <c r="H744" s="46"/>
      <c r="I744" s="46"/>
      <c r="J744" s="37"/>
      <c r="K744" s="37"/>
    </row>
    <row r="745">
      <c r="C745" s="37"/>
      <c r="H745" s="46"/>
      <c r="I745" s="46"/>
      <c r="J745" s="37"/>
      <c r="K745" s="37"/>
    </row>
    <row r="746">
      <c r="C746" s="37"/>
      <c r="H746" s="46"/>
      <c r="I746" s="46"/>
      <c r="J746" s="37"/>
      <c r="K746" s="37"/>
    </row>
    <row r="747">
      <c r="C747" s="37"/>
      <c r="H747" s="46"/>
      <c r="I747" s="46"/>
      <c r="J747" s="37"/>
      <c r="K747" s="37"/>
    </row>
    <row r="748">
      <c r="C748" s="37"/>
      <c r="H748" s="46"/>
      <c r="I748" s="46"/>
      <c r="J748" s="37"/>
      <c r="K748" s="37"/>
    </row>
    <row r="749">
      <c r="C749" s="37"/>
      <c r="H749" s="46"/>
      <c r="I749" s="46"/>
      <c r="J749" s="37"/>
      <c r="K749" s="37"/>
    </row>
    <row r="750">
      <c r="C750" s="37"/>
      <c r="H750" s="46"/>
      <c r="I750" s="46"/>
      <c r="J750" s="37"/>
      <c r="K750" s="37"/>
    </row>
    <row r="751">
      <c r="C751" s="37"/>
      <c r="H751" s="46"/>
      <c r="I751" s="46"/>
      <c r="J751" s="37"/>
      <c r="K751" s="37"/>
    </row>
    <row r="752">
      <c r="C752" s="37"/>
      <c r="H752" s="46"/>
      <c r="I752" s="46"/>
      <c r="J752" s="37"/>
      <c r="K752" s="37"/>
    </row>
    <row r="753">
      <c r="C753" s="37"/>
      <c r="H753" s="46"/>
      <c r="I753" s="46"/>
      <c r="J753" s="37"/>
      <c r="K753" s="37"/>
    </row>
    <row r="754">
      <c r="C754" s="37"/>
      <c r="H754" s="46"/>
      <c r="I754" s="46"/>
      <c r="J754" s="37"/>
      <c r="K754" s="37"/>
    </row>
    <row r="755">
      <c r="C755" s="37"/>
      <c r="H755" s="46"/>
      <c r="I755" s="46"/>
      <c r="J755" s="37"/>
      <c r="K755" s="37"/>
    </row>
    <row r="756">
      <c r="C756" s="37"/>
      <c r="H756" s="46"/>
      <c r="I756" s="46"/>
      <c r="J756" s="37"/>
      <c r="K756" s="37"/>
    </row>
    <row r="757">
      <c r="C757" s="37"/>
      <c r="H757" s="46"/>
      <c r="I757" s="46"/>
      <c r="J757" s="37"/>
      <c r="K757" s="37"/>
    </row>
    <row r="758">
      <c r="C758" s="37"/>
      <c r="H758" s="46"/>
      <c r="I758" s="46"/>
      <c r="J758" s="37"/>
      <c r="K758" s="37"/>
    </row>
    <row r="759">
      <c r="C759" s="37"/>
      <c r="H759" s="46"/>
      <c r="I759" s="46"/>
      <c r="J759" s="37"/>
      <c r="K759" s="37"/>
    </row>
    <row r="760">
      <c r="C760" s="37"/>
      <c r="H760" s="46"/>
      <c r="I760" s="46"/>
      <c r="J760" s="37"/>
      <c r="K760" s="37"/>
    </row>
    <row r="761">
      <c r="C761" s="37"/>
      <c r="H761" s="46"/>
      <c r="I761" s="46"/>
      <c r="J761" s="37"/>
      <c r="K761" s="37"/>
    </row>
    <row r="762">
      <c r="C762" s="37"/>
      <c r="H762" s="46"/>
      <c r="I762" s="46"/>
      <c r="J762" s="37"/>
      <c r="K762" s="37"/>
    </row>
    <row r="763">
      <c r="C763" s="37"/>
      <c r="H763" s="46"/>
      <c r="I763" s="46"/>
      <c r="J763" s="37"/>
      <c r="K763" s="37"/>
    </row>
    <row r="764">
      <c r="C764" s="37"/>
      <c r="H764" s="46"/>
      <c r="I764" s="46"/>
      <c r="J764" s="37"/>
      <c r="K764" s="37"/>
    </row>
    <row r="765">
      <c r="C765" s="37"/>
      <c r="H765" s="46"/>
      <c r="I765" s="46"/>
      <c r="J765" s="37"/>
      <c r="K765" s="37"/>
    </row>
    <row r="766">
      <c r="C766" s="37"/>
      <c r="H766" s="46"/>
      <c r="I766" s="46"/>
      <c r="J766" s="37"/>
      <c r="K766" s="37"/>
    </row>
    <row r="767">
      <c r="C767" s="37"/>
      <c r="H767" s="46"/>
      <c r="I767" s="46"/>
      <c r="J767" s="37"/>
      <c r="K767" s="37"/>
    </row>
    <row r="768">
      <c r="C768" s="37"/>
      <c r="H768" s="46"/>
      <c r="I768" s="46"/>
      <c r="J768" s="37"/>
      <c r="K768" s="37"/>
    </row>
    <row r="769">
      <c r="C769" s="37"/>
      <c r="H769" s="46"/>
      <c r="I769" s="46"/>
      <c r="J769" s="37"/>
      <c r="K769" s="37"/>
    </row>
    <row r="770">
      <c r="C770" s="37"/>
      <c r="H770" s="46"/>
      <c r="I770" s="46"/>
      <c r="J770" s="37"/>
      <c r="K770" s="37"/>
    </row>
    <row r="771">
      <c r="C771" s="37"/>
      <c r="H771" s="46"/>
      <c r="I771" s="46"/>
      <c r="J771" s="37"/>
      <c r="K771" s="37"/>
    </row>
    <row r="772">
      <c r="C772" s="37"/>
      <c r="H772" s="46"/>
      <c r="I772" s="46"/>
      <c r="J772" s="37"/>
      <c r="K772" s="37"/>
    </row>
    <row r="773">
      <c r="C773" s="37"/>
      <c r="H773" s="46"/>
      <c r="I773" s="46"/>
      <c r="J773" s="37"/>
      <c r="K773" s="37"/>
    </row>
    <row r="774">
      <c r="C774" s="37"/>
      <c r="H774" s="46"/>
      <c r="I774" s="46"/>
      <c r="J774" s="37"/>
      <c r="K774" s="37"/>
    </row>
    <row r="775">
      <c r="C775" s="37"/>
      <c r="H775" s="46"/>
      <c r="I775" s="46"/>
      <c r="J775" s="37"/>
      <c r="K775" s="37"/>
    </row>
    <row r="776">
      <c r="C776" s="37"/>
      <c r="H776" s="46"/>
      <c r="I776" s="46"/>
      <c r="J776" s="37"/>
      <c r="K776" s="37"/>
    </row>
    <row r="777">
      <c r="C777" s="37"/>
      <c r="H777" s="46"/>
      <c r="I777" s="46"/>
      <c r="J777" s="37"/>
      <c r="K777" s="37"/>
    </row>
    <row r="778">
      <c r="C778" s="37"/>
      <c r="H778" s="46"/>
      <c r="I778" s="46"/>
      <c r="J778" s="37"/>
      <c r="K778" s="37"/>
    </row>
    <row r="779">
      <c r="C779" s="37"/>
      <c r="H779" s="46"/>
      <c r="I779" s="46"/>
      <c r="J779" s="37"/>
      <c r="K779" s="37"/>
    </row>
    <row r="780">
      <c r="C780" s="37"/>
      <c r="H780" s="46"/>
      <c r="I780" s="46"/>
      <c r="J780" s="37"/>
      <c r="K780" s="37"/>
    </row>
    <row r="781">
      <c r="C781" s="37"/>
      <c r="H781" s="46"/>
      <c r="I781" s="46"/>
      <c r="J781" s="37"/>
      <c r="K781" s="37"/>
    </row>
    <row r="782">
      <c r="C782" s="37"/>
      <c r="H782" s="46"/>
      <c r="I782" s="46"/>
      <c r="J782" s="37"/>
      <c r="K782" s="37"/>
    </row>
    <row r="783">
      <c r="C783" s="37"/>
      <c r="H783" s="46"/>
      <c r="I783" s="46"/>
      <c r="J783" s="37"/>
      <c r="K783" s="37"/>
    </row>
    <row r="784">
      <c r="C784" s="37"/>
      <c r="H784" s="46"/>
      <c r="I784" s="46"/>
      <c r="J784" s="37"/>
      <c r="K784" s="37"/>
    </row>
    <row r="785">
      <c r="C785" s="37"/>
      <c r="H785" s="46"/>
      <c r="I785" s="46"/>
      <c r="J785" s="37"/>
      <c r="K785" s="37"/>
    </row>
    <row r="786">
      <c r="C786" s="37"/>
      <c r="H786" s="46"/>
      <c r="I786" s="46"/>
      <c r="J786" s="37"/>
      <c r="K786" s="37"/>
    </row>
    <row r="787">
      <c r="C787" s="37"/>
      <c r="H787" s="46"/>
      <c r="I787" s="46"/>
      <c r="J787" s="37"/>
      <c r="K787" s="37"/>
    </row>
    <row r="788">
      <c r="C788" s="37"/>
      <c r="H788" s="46"/>
      <c r="I788" s="46"/>
      <c r="J788" s="37"/>
      <c r="K788" s="37"/>
    </row>
    <row r="789">
      <c r="C789" s="37"/>
      <c r="H789" s="46"/>
      <c r="I789" s="46"/>
      <c r="J789" s="37"/>
      <c r="K789" s="37"/>
    </row>
    <row r="790">
      <c r="C790" s="37"/>
      <c r="H790" s="46"/>
      <c r="I790" s="46"/>
      <c r="J790" s="37"/>
      <c r="K790" s="37"/>
    </row>
    <row r="791">
      <c r="C791" s="37"/>
      <c r="H791" s="46"/>
      <c r="I791" s="46"/>
      <c r="J791" s="37"/>
      <c r="K791" s="37"/>
    </row>
    <row r="792">
      <c r="C792" s="37"/>
      <c r="H792" s="46"/>
      <c r="I792" s="46"/>
      <c r="J792" s="37"/>
      <c r="K792" s="37"/>
    </row>
    <row r="793">
      <c r="C793" s="37"/>
      <c r="H793" s="46"/>
      <c r="I793" s="46"/>
      <c r="J793" s="37"/>
      <c r="K793" s="37"/>
    </row>
    <row r="794">
      <c r="C794" s="37"/>
      <c r="H794" s="46"/>
      <c r="I794" s="46"/>
      <c r="J794" s="37"/>
      <c r="K794" s="37"/>
    </row>
    <row r="795">
      <c r="C795" s="37"/>
      <c r="H795" s="46"/>
      <c r="I795" s="46"/>
      <c r="J795" s="37"/>
      <c r="K795" s="37"/>
    </row>
    <row r="796">
      <c r="C796" s="37"/>
      <c r="H796" s="46"/>
      <c r="I796" s="46"/>
      <c r="J796" s="37"/>
      <c r="K796" s="37"/>
    </row>
    <row r="797">
      <c r="C797" s="37"/>
      <c r="H797" s="46"/>
      <c r="I797" s="46"/>
      <c r="J797" s="37"/>
      <c r="K797" s="37"/>
    </row>
    <row r="798">
      <c r="C798" s="37"/>
      <c r="H798" s="46"/>
      <c r="I798" s="46"/>
      <c r="J798" s="37"/>
      <c r="K798" s="37"/>
    </row>
    <row r="799">
      <c r="C799" s="37"/>
      <c r="H799" s="46"/>
      <c r="I799" s="46"/>
      <c r="J799" s="37"/>
      <c r="K799" s="37"/>
    </row>
    <row r="800">
      <c r="C800" s="37"/>
      <c r="H800" s="46"/>
      <c r="I800" s="46"/>
      <c r="J800" s="37"/>
      <c r="K800" s="37"/>
    </row>
    <row r="801">
      <c r="C801" s="37"/>
      <c r="H801" s="46"/>
      <c r="I801" s="46"/>
      <c r="J801" s="37"/>
      <c r="K801" s="37"/>
    </row>
    <row r="802">
      <c r="C802" s="37"/>
      <c r="H802" s="46"/>
      <c r="I802" s="46"/>
      <c r="J802" s="37"/>
      <c r="K802" s="37"/>
    </row>
    <row r="803">
      <c r="C803" s="37"/>
      <c r="H803" s="46"/>
      <c r="I803" s="46"/>
      <c r="J803" s="37"/>
      <c r="K803" s="37"/>
    </row>
    <row r="804">
      <c r="C804" s="37"/>
      <c r="H804" s="46"/>
      <c r="I804" s="46"/>
      <c r="J804" s="37"/>
      <c r="K804" s="37"/>
    </row>
    <row r="805">
      <c r="C805" s="37"/>
      <c r="H805" s="46"/>
      <c r="I805" s="46"/>
      <c r="J805" s="37"/>
      <c r="K805" s="37"/>
    </row>
    <row r="806">
      <c r="C806" s="37"/>
      <c r="H806" s="46"/>
      <c r="I806" s="46"/>
      <c r="J806" s="37"/>
      <c r="K806" s="37"/>
    </row>
    <row r="807">
      <c r="C807" s="37"/>
      <c r="H807" s="46"/>
      <c r="I807" s="46"/>
      <c r="J807" s="37"/>
      <c r="K807" s="37"/>
    </row>
    <row r="808">
      <c r="C808" s="37"/>
      <c r="H808" s="46"/>
      <c r="I808" s="46"/>
      <c r="J808" s="37"/>
      <c r="K808" s="37"/>
    </row>
    <row r="809">
      <c r="C809" s="37"/>
      <c r="H809" s="46"/>
      <c r="I809" s="46"/>
      <c r="J809" s="37"/>
      <c r="K809" s="37"/>
    </row>
    <row r="810">
      <c r="C810" s="37"/>
      <c r="H810" s="46"/>
      <c r="I810" s="46"/>
      <c r="J810" s="37"/>
      <c r="K810" s="37"/>
    </row>
    <row r="811">
      <c r="C811" s="37"/>
      <c r="H811" s="46"/>
      <c r="I811" s="46"/>
      <c r="J811" s="37"/>
      <c r="K811" s="37"/>
    </row>
    <row r="812">
      <c r="C812" s="37"/>
      <c r="H812" s="46"/>
      <c r="I812" s="46"/>
      <c r="J812" s="37"/>
      <c r="K812" s="37"/>
    </row>
    <row r="813">
      <c r="C813" s="37"/>
      <c r="H813" s="46"/>
      <c r="I813" s="46"/>
      <c r="J813" s="37"/>
      <c r="K813" s="37"/>
    </row>
    <row r="814">
      <c r="C814" s="37"/>
      <c r="H814" s="46"/>
      <c r="I814" s="46"/>
      <c r="J814" s="37"/>
      <c r="K814" s="37"/>
    </row>
    <row r="815">
      <c r="C815" s="37"/>
      <c r="H815" s="46"/>
      <c r="I815" s="46"/>
      <c r="J815" s="37"/>
      <c r="K815" s="37"/>
    </row>
    <row r="816">
      <c r="C816" s="37"/>
      <c r="H816" s="46"/>
      <c r="I816" s="46"/>
      <c r="J816" s="37"/>
      <c r="K816" s="37"/>
    </row>
    <row r="817">
      <c r="C817" s="37"/>
      <c r="H817" s="46"/>
      <c r="I817" s="46"/>
      <c r="J817" s="37"/>
      <c r="K817" s="37"/>
    </row>
    <row r="818">
      <c r="C818" s="37"/>
      <c r="H818" s="46"/>
      <c r="I818" s="46"/>
      <c r="J818" s="37"/>
      <c r="K818" s="37"/>
    </row>
    <row r="819">
      <c r="C819" s="37"/>
      <c r="H819" s="46"/>
      <c r="I819" s="46"/>
      <c r="J819" s="37"/>
      <c r="K819" s="37"/>
    </row>
    <row r="820">
      <c r="C820" s="37"/>
      <c r="H820" s="46"/>
      <c r="I820" s="46"/>
      <c r="J820" s="37"/>
      <c r="K820" s="37"/>
    </row>
    <row r="821">
      <c r="C821" s="37"/>
      <c r="H821" s="46"/>
      <c r="I821" s="46"/>
      <c r="J821" s="37"/>
      <c r="K821" s="37"/>
    </row>
    <row r="822">
      <c r="C822" s="37"/>
      <c r="H822" s="46"/>
      <c r="I822" s="46"/>
      <c r="J822" s="37"/>
      <c r="K822" s="37"/>
    </row>
    <row r="823">
      <c r="C823" s="37"/>
      <c r="H823" s="46"/>
      <c r="I823" s="46"/>
      <c r="J823" s="37"/>
      <c r="K823" s="37"/>
    </row>
    <row r="824">
      <c r="C824" s="37"/>
      <c r="H824" s="46"/>
      <c r="I824" s="46"/>
      <c r="J824" s="37"/>
      <c r="K824" s="37"/>
    </row>
    <row r="825">
      <c r="C825" s="37"/>
      <c r="H825" s="46"/>
      <c r="I825" s="46"/>
      <c r="J825" s="37"/>
      <c r="K825" s="37"/>
    </row>
    <row r="826">
      <c r="C826" s="37"/>
      <c r="H826" s="46"/>
      <c r="I826" s="46"/>
      <c r="J826" s="37"/>
      <c r="K826" s="37"/>
    </row>
    <row r="827">
      <c r="C827" s="37"/>
      <c r="H827" s="46"/>
      <c r="I827" s="46"/>
      <c r="J827" s="37"/>
      <c r="K827" s="37"/>
    </row>
    <row r="828">
      <c r="C828" s="37"/>
      <c r="H828" s="46"/>
      <c r="I828" s="46"/>
      <c r="J828" s="37"/>
      <c r="K828" s="37"/>
    </row>
    <row r="829">
      <c r="C829" s="37"/>
      <c r="H829" s="46"/>
      <c r="I829" s="46"/>
      <c r="J829" s="37"/>
      <c r="K829" s="37"/>
    </row>
    <row r="830">
      <c r="C830" s="37"/>
      <c r="H830" s="46"/>
      <c r="I830" s="46"/>
      <c r="J830" s="37"/>
      <c r="K830" s="37"/>
    </row>
    <row r="831">
      <c r="C831" s="37"/>
      <c r="H831" s="46"/>
      <c r="I831" s="46"/>
      <c r="J831" s="37"/>
      <c r="K831" s="37"/>
    </row>
    <row r="832">
      <c r="C832" s="37"/>
      <c r="H832" s="46"/>
      <c r="I832" s="46"/>
      <c r="J832" s="37"/>
      <c r="K832" s="37"/>
    </row>
    <row r="833">
      <c r="C833" s="37"/>
      <c r="H833" s="46"/>
      <c r="I833" s="46"/>
      <c r="J833" s="37"/>
      <c r="K833" s="37"/>
    </row>
    <row r="834">
      <c r="C834" s="37"/>
      <c r="H834" s="46"/>
      <c r="I834" s="46"/>
      <c r="J834" s="37"/>
      <c r="K834" s="37"/>
    </row>
    <row r="835">
      <c r="C835" s="37"/>
      <c r="H835" s="46"/>
      <c r="I835" s="46"/>
      <c r="J835" s="37"/>
      <c r="K835" s="37"/>
    </row>
    <row r="836">
      <c r="C836" s="37"/>
      <c r="H836" s="46"/>
      <c r="I836" s="46"/>
      <c r="J836" s="37"/>
      <c r="K836" s="37"/>
    </row>
    <row r="837">
      <c r="C837" s="37"/>
      <c r="H837" s="46"/>
      <c r="I837" s="46"/>
      <c r="J837" s="37"/>
      <c r="K837" s="37"/>
    </row>
    <row r="838">
      <c r="C838" s="37"/>
      <c r="H838" s="46"/>
      <c r="I838" s="46"/>
      <c r="J838" s="37"/>
      <c r="K838" s="37"/>
    </row>
    <row r="839">
      <c r="C839" s="37"/>
      <c r="H839" s="46"/>
      <c r="I839" s="46"/>
      <c r="J839" s="37"/>
      <c r="K839" s="37"/>
    </row>
    <row r="840">
      <c r="C840" s="37"/>
      <c r="H840" s="46"/>
      <c r="I840" s="46"/>
      <c r="J840" s="37"/>
      <c r="K840" s="37"/>
    </row>
    <row r="841">
      <c r="C841" s="37"/>
      <c r="H841" s="46"/>
      <c r="I841" s="46"/>
      <c r="J841" s="37"/>
      <c r="K841" s="37"/>
    </row>
    <row r="842">
      <c r="C842" s="37"/>
      <c r="H842" s="46"/>
      <c r="I842" s="46"/>
      <c r="J842" s="37"/>
      <c r="K842" s="37"/>
    </row>
    <row r="843">
      <c r="C843" s="37"/>
      <c r="H843" s="46"/>
      <c r="I843" s="46"/>
      <c r="J843" s="37"/>
      <c r="K843" s="37"/>
    </row>
    <row r="844">
      <c r="C844" s="37"/>
      <c r="H844" s="46"/>
      <c r="I844" s="46"/>
      <c r="J844" s="37"/>
      <c r="K844" s="37"/>
    </row>
    <row r="845">
      <c r="C845" s="37"/>
      <c r="H845" s="46"/>
      <c r="I845" s="46"/>
      <c r="J845" s="37"/>
      <c r="K845" s="37"/>
    </row>
    <row r="846">
      <c r="C846" s="37"/>
      <c r="H846" s="46"/>
      <c r="I846" s="46"/>
      <c r="J846" s="37"/>
      <c r="K846" s="37"/>
    </row>
    <row r="847">
      <c r="C847" s="37"/>
      <c r="H847" s="46"/>
      <c r="I847" s="46"/>
      <c r="J847" s="37"/>
      <c r="K847" s="37"/>
    </row>
    <row r="848">
      <c r="C848" s="37"/>
      <c r="H848" s="46"/>
      <c r="I848" s="46"/>
      <c r="J848" s="37"/>
      <c r="K848" s="37"/>
    </row>
    <row r="849">
      <c r="C849" s="37"/>
      <c r="H849" s="46"/>
      <c r="I849" s="46"/>
      <c r="J849" s="37"/>
      <c r="K849" s="37"/>
    </row>
    <row r="850">
      <c r="C850" s="37"/>
      <c r="H850" s="46"/>
      <c r="I850" s="46"/>
      <c r="J850" s="37"/>
      <c r="K850" s="37"/>
    </row>
    <row r="851">
      <c r="C851" s="37"/>
      <c r="H851" s="46"/>
      <c r="I851" s="46"/>
      <c r="J851" s="37"/>
      <c r="K851" s="37"/>
    </row>
    <row r="852">
      <c r="C852" s="37"/>
      <c r="H852" s="46"/>
      <c r="I852" s="46"/>
      <c r="J852" s="37"/>
      <c r="K852" s="37"/>
    </row>
    <row r="853">
      <c r="C853" s="37"/>
      <c r="H853" s="46"/>
      <c r="I853" s="46"/>
      <c r="J853" s="37"/>
      <c r="K853" s="37"/>
    </row>
    <row r="854">
      <c r="C854" s="37"/>
      <c r="H854" s="46"/>
      <c r="I854" s="46"/>
      <c r="J854" s="37"/>
      <c r="K854" s="37"/>
    </row>
    <row r="855">
      <c r="C855" s="37"/>
      <c r="H855" s="46"/>
      <c r="I855" s="46"/>
      <c r="J855" s="37"/>
      <c r="K855" s="37"/>
    </row>
    <row r="856">
      <c r="C856" s="37"/>
      <c r="H856" s="46"/>
      <c r="I856" s="46"/>
      <c r="J856" s="37"/>
      <c r="K856" s="37"/>
    </row>
    <row r="857">
      <c r="C857" s="37"/>
      <c r="H857" s="46"/>
      <c r="I857" s="46"/>
      <c r="J857" s="37"/>
      <c r="K857" s="37"/>
    </row>
    <row r="858">
      <c r="C858" s="37"/>
      <c r="H858" s="46"/>
      <c r="I858" s="46"/>
      <c r="J858" s="37"/>
      <c r="K858" s="37"/>
    </row>
    <row r="859">
      <c r="C859" s="37"/>
      <c r="H859" s="46"/>
      <c r="I859" s="46"/>
      <c r="J859" s="37"/>
      <c r="K859" s="37"/>
    </row>
    <row r="860">
      <c r="C860" s="37"/>
      <c r="H860" s="46"/>
      <c r="I860" s="46"/>
      <c r="J860" s="37"/>
      <c r="K860" s="37"/>
    </row>
    <row r="861">
      <c r="C861" s="37"/>
      <c r="H861" s="46"/>
      <c r="I861" s="46"/>
      <c r="J861" s="37"/>
      <c r="K861" s="37"/>
    </row>
    <row r="862">
      <c r="C862" s="37"/>
      <c r="H862" s="46"/>
      <c r="I862" s="46"/>
      <c r="J862" s="37"/>
      <c r="K862" s="37"/>
    </row>
    <row r="863">
      <c r="C863" s="37"/>
      <c r="H863" s="46"/>
      <c r="I863" s="46"/>
      <c r="J863" s="37"/>
      <c r="K863" s="37"/>
    </row>
    <row r="864">
      <c r="C864" s="37"/>
      <c r="H864" s="46"/>
      <c r="I864" s="46"/>
      <c r="J864" s="37"/>
      <c r="K864" s="37"/>
    </row>
    <row r="865">
      <c r="C865" s="37"/>
      <c r="H865" s="46"/>
      <c r="I865" s="46"/>
      <c r="J865" s="37"/>
      <c r="K865" s="37"/>
    </row>
    <row r="866">
      <c r="C866" s="37"/>
      <c r="H866" s="46"/>
      <c r="I866" s="46"/>
      <c r="J866" s="37"/>
      <c r="K866" s="37"/>
    </row>
    <row r="867">
      <c r="C867" s="37"/>
      <c r="H867" s="46"/>
      <c r="I867" s="46"/>
      <c r="J867" s="37"/>
      <c r="K867" s="37"/>
    </row>
    <row r="868">
      <c r="C868" s="37"/>
      <c r="H868" s="46"/>
      <c r="I868" s="46"/>
      <c r="J868" s="37"/>
      <c r="K868" s="37"/>
    </row>
    <row r="869">
      <c r="C869" s="37"/>
      <c r="H869" s="46"/>
      <c r="I869" s="46"/>
      <c r="J869" s="37"/>
      <c r="K869" s="37"/>
    </row>
    <row r="870">
      <c r="C870" s="37"/>
      <c r="H870" s="46"/>
      <c r="I870" s="46"/>
      <c r="J870" s="37"/>
      <c r="K870" s="37"/>
    </row>
    <row r="871">
      <c r="C871" s="37"/>
      <c r="H871" s="46"/>
      <c r="I871" s="46"/>
      <c r="J871" s="37"/>
      <c r="K871" s="37"/>
    </row>
    <row r="872">
      <c r="C872" s="37"/>
      <c r="H872" s="46"/>
      <c r="I872" s="46"/>
      <c r="J872" s="37"/>
      <c r="K872" s="37"/>
    </row>
    <row r="873">
      <c r="C873" s="37"/>
      <c r="H873" s="46"/>
      <c r="I873" s="46"/>
      <c r="J873" s="37"/>
      <c r="K873" s="37"/>
    </row>
    <row r="874">
      <c r="C874" s="37"/>
      <c r="H874" s="46"/>
      <c r="I874" s="46"/>
      <c r="J874" s="37"/>
      <c r="K874" s="37"/>
    </row>
    <row r="875">
      <c r="C875" s="37"/>
      <c r="H875" s="46"/>
      <c r="I875" s="46"/>
      <c r="J875" s="37"/>
      <c r="K875" s="37"/>
    </row>
    <row r="876">
      <c r="C876" s="37"/>
      <c r="H876" s="46"/>
      <c r="I876" s="46"/>
      <c r="J876" s="37"/>
      <c r="K876" s="37"/>
    </row>
    <row r="877">
      <c r="C877" s="37"/>
      <c r="H877" s="46"/>
      <c r="I877" s="46"/>
      <c r="J877" s="37"/>
      <c r="K877" s="37"/>
    </row>
    <row r="878">
      <c r="C878" s="37"/>
      <c r="H878" s="46"/>
      <c r="I878" s="46"/>
      <c r="J878" s="37"/>
      <c r="K878" s="37"/>
    </row>
    <row r="879">
      <c r="C879" s="37"/>
      <c r="H879" s="46"/>
      <c r="I879" s="46"/>
      <c r="J879" s="37"/>
      <c r="K879" s="37"/>
    </row>
    <row r="880">
      <c r="C880" s="37"/>
      <c r="H880" s="46"/>
      <c r="I880" s="46"/>
      <c r="J880" s="37"/>
      <c r="K880" s="37"/>
    </row>
    <row r="881">
      <c r="C881" s="37"/>
      <c r="H881" s="46"/>
      <c r="I881" s="46"/>
      <c r="J881" s="37"/>
      <c r="K881" s="37"/>
    </row>
    <row r="882">
      <c r="C882" s="37"/>
      <c r="H882" s="46"/>
      <c r="I882" s="46"/>
      <c r="J882" s="37"/>
      <c r="K882" s="37"/>
    </row>
    <row r="883">
      <c r="C883" s="37"/>
      <c r="H883" s="46"/>
      <c r="I883" s="46"/>
      <c r="J883" s="37"/>
      <c r="K883" s="37"/>
    </row>
    <row r="884">
      <c r="C884" s="37"/>
      <c r="H884" s="46"/>
      <c r="I884" s="46"/>
      <c r="J884" s="37"/>
      <c r="K884" s="37"/>
    </row>
    <row r="885">
      <c r="C885" s="37"/>
      <c r="H885" s="46"/>
      <c r="I885" s="46"/>
      <c r="J885" s="37"/>
      <c r="K885" s="37"/>
    </row>
    <row r="886">
      <c r="C886" s="37"/>
      <c r="H886" s="46"/>
      <c r="I886" s="46"/>
      <c r="J886" s="37"/>
      <c r="K886" s="37"/>
    </row>
    <row r="887">
      <c r="C887" s="37"/>
      <c r="H887" s="46"/>
      <c r="I887" s="46"/>
      <c r="J887" s="37"/>
      <c r="K887" s="37"/>
    </row>
    <row r="888">
      <c r="C888" s="37"/>
      <c r="H888" s="46"/>
      <c r="I888" s="46"/>
      <c r="J888" s="37"/>
      <c r="K888" s="37"/>
    </row>
    <row r="889">
      <c r="C889" s="37"/>
      <c r="H889" s="46"/>
      <c r="I889" s="46"/>
      <c r="J889" s="37"/>
      <c r="K889" s="37"/>
    </row>
    <row r="890">
      <c r="C890" s="37"/>
      <c r="H890" s="46"/>
      <c r="I890" s="46"/>
      <c r="J890" s="37"/>
      <c r="K890" s="37"/>
    </row>
    <row r="891">
      <c r="C891" s="37"/>
      <c r="H891" s="46"/>
      <c r="I891" s="46"/>
      <c r="J891" s="37"/>
      <c r="K891" s="37"/>
    </row>
    <row r="892">
      <c r="C892" s="37"/>
      <c r="H892" s="46"/>
      <c r="I892" s="46"/>
      <c r="J892" s="37"/>
      <c r="K892" s="37"/>
    </row>
    <row r="893">
      <c r="C893" s="37"/>
      <c r="H893" s="46"/>
      <c r="I893" s="46"/>
      <c r="J893" s="37"/>
      <c r="K893" s="37"/>
    </row>
    <row r="894">
      <c r="C894" s="37"/>
      <c r="H894" s="46"/>
      <c r="I894" s="46"/>
      <c r="J894" s="37"/>
      <c r="K894" s="37"/>
    </row>
    <row r="895">
      <c r="C895" s="37"/>
      <c r="H895" s="46"/>
      <c r="I895" s="46"/>
      <c r="J895" s="37"/>
      <c r="K895" s="37"/>
    </row>
    <row r="896">
      <c r="C896" s="37"/>
      <c r="H896" s="46"/>
      <c r="I896" s="46"/>
      <c r="J896" s="37"/>
      <c r="K896" s="37"/>
    </row>
    <row r="897">
      <c r="C897" s="37"/>
      <c r="H897" s="46"/>
      <c r="I897" s="46"/>
      <c r="J897" s="37"/>
      <c r="K897" s="37"/>
    </row>
    <row r="898">
      <c r="C898" s="37"/>
      <c r="H898" s="46"/>
      <c r="I898" s="46"/>
      <c r="J898" s="37"/>
      <c r="K898" s="37"/>
    </row>
    <row r="899">
      <c r="C899" s="37"/>
      <c r="H899" s="46"/>
      <c r="I899" s="46"/>
      <c r="J899" s="37"/>
      <c r="K899" s="37"/>
    </row>
    <row r="900">
      <c r="C900" s="37"/>
      <c r="H900" s="46"/>
      <c r="I900" s="46"/>
      <c r="J900" s="37"/>
      <c r="K900" s="37"/>
    </row>
    <row r="901">
      <c r="C901" s="37"/>
      <c r="H901" s="46"/>
      <c r="I901" s="46"/>
      <c r="J901" s="37"/>
      <c r="K901" s="37"/>
    </row>
    <row r="902">
      <c r="C902" s="37"/>
      <c r="H902" s="46"/>
      <c r="I902" s="46"/>
      <c r="J902" s="37"/>
      <c r="K902" s="37"/>
    </row>
    <row r="903">
      <c r="C903" s="37"/>
      <c r="H903" s="46"/>
      <c r="I903" s="46"/>
      <c r="J903" s="37"/>
      <c r="K903" s="37"/>
    </row>
    <row r="904">
      <c r="C904" s="37"/>
      <c r="H904" s="46"/>
      <c r="I904" s="46"/>
      <c r="J904" s="37"/>
      <c r="K904" s="37"/>
    </row>
    <row r="905">
      <c r="C905" s="37"/>
      <c r="H905" s="46"/>
      <c r="I905" s="46"/>
      <c r="J905" s="37"/>
      <c r="K905" s="37"/>
    </row>
    <row r="906">
      <c r="C906" s="37"/>
      <c r="H906" s="46"/>
      <c r="I906" s="46"/>
      <c r="J906" s="37"/>
      <c r="K906" s="37"/>
    </row>
    <row r="907">
      <c r="C907" s="37"/>
      <c r="H907" s="46"/>
      <c r="I907" s="46"/>
      <c r="J907" s="37"/>
      <c r="K907" s="37"/>
    </row>
    <row r="908">
      <c r="C908" s="37"/>
      <c r="H908" s="46"/>
      <c r="I908" s="46"/>
      <c r="J908" s="37"/>
      <c r="K908" s="37"/>
    </row>
    <row r="909">
      <c r="C909" s="37"/>
      <c r="H909" s="46"/>
      <c r="I909" s="46"/>
      <c r="J909" s="37"/>
      <c r="K909" s="37"/>
    </row>
    <row r="910">
      <c r="C910" s="37"/>
      <c r="H910" s="46"/>
      <c r="I910" s="46"/>
      <c r="J910" s="37"/>
      <c r="K910" s="37"/>
    </row>
    <row r="911">
      <c r="C911" s="37"/>
      <c r="H911" s="46"/>
      <c r="I911" s="46"/>
      <c r="J911" s="37"/>
      <c r="K911" s="37"/>
    </row>
    <row r="912">
      <c r="C912" s="37"/>
      <c r="H912" s="46"/>
      <c r="I912" s="46"/>
      <c r="J912" s="37"/>
      <c r="K912" s="37"/>
    </row>
    <row r="913">
      <c r="C913" s="37"/>
      <c r="H913" s="46"/>
      <c r="I913" s="46"/>
      <c r="J913" s="37"/>
      <c r="K913" s="37"/>
    </row>
    <row r="914">
      <c r="C914" s="37"/>
      <c r="H914" s="46"/>
      <c r="I914" s="46"/>
      <c r="J914" s="37"/>
      <c r="K914" s="37"/>
    </row>
    <row r="915">
      <c r="C915" s="37"/>
      <c r="H915" s="46"/>
      <c r="I915" s="46"/>
      <c r="J915" s="37"/>
      <c r="K915" s="37"/>
    </row>
    <row r="916">
      <c r="C916" s="37"/>
      <c r="H916" s="46"/>
      <c r="I916" s="46"/>
      <c r="J916" s="37"/>
      <c r="K916" s="37"/>
    </row>
    <row r="917">
      <c r="C917" s="37"/>
      <c r="H917" s="46"/>
      <c r="I917" s="46"/>
      <c r="J917" s="37"/>
      <c r="K917" s="37"/>
    </row>
    <row r="918">
      <c r="C918" s="37"/>
      <c r="H918" s="46"/>
      <c r="I918" s="46"/>
      <c r="J918" s="37"/>
      <c r="K918" s="37"/>
    </row>
    <row r="919">
      <c r="C919" s="37"/>
      <c r="H919" s="46"/>
      <c r="I919" s="46"/>
      <c r="J919" s="37"/>
      <c r="K919" s="37"/>
    </row>
    <row r="920">
      <c r="C920" s="37"/>
      <c r="H920" s="46"/>
      <c r="I920" s="46"/>
      <c r="J920" s="37"/>
      <c r="K920" s="37"/>
    </row>
    <row r="921">
      <c r="C921" s="37"/>
      <c r="H921" s="46"/>
      <c r="I921" s="46"/>
      <c r="J921" s="37"/>
      <c r="K921" s="37"/>
    </row>
    <row r="922">
      <c r="C922" s="37"/>
      <c r="H922" s="46"/>
      <c r="I922" s="46"/>
      <c r="J922" s="37"/>
      <c r="K922" s="37"/>
    </row>
    <row r="923">
      <c r="C923" s="37"/>
      <c r="H923" s="46"/>
      <c r="I923" s="46"/>
      <c r="J923" s="37"/>
      <c r="K923" s="37"/>
    </row>
    <row r="924">
      <c r="C924" s="37"/>
      <c r="H924" s="46"/>
      <c r="I924" s="46"/>
      <c r="J924" s="37"/>
      <c r="K924" s="37"/>
    </row>
    <row r="925">
      <c r="C925" s="37"/>
      <c r="H925" s="46"/>
      <c r="I925" s="46"/>
      <c r="J925" s="37"/>
      <c r="K925" s="37"/>
    </row>
    <row r="926">
      <c r="C926" s="37"/>
      <c r="H926" s="46"/>
      <c r="I926" s="46"/>
      <c r="J926" s="37"/>
      <c r="K926" s="37"/>
    </row>
    <row r="927">
      <c r="C927" s="37"/>
      <c r="H927" s="46"/>
      <c r="I927" s="46"/>
      <c r="J927" s="37"/>
      <c r="K927" s="37"/>
    </row>
    <row r="928">
      <c r="C928" s="37"/>
      <c r="H928" s="46"/>
      <c r="I928" s="46"/>
      <c r="J928" s="37"/>
      <c r="K928" s="37"/>
    </row>
    <row r="929">
      <c r="C929" s="37"/>
      <c r="H929" s="46"/>
      <c r="I929" s="46"/>
      <c r="J929" s="37"/>
      <c r="K929" s="37"/>
    </row>
    <row r="930">
      <c r="C930" s="37"/>
      <c r="H930" s="46"/>
      <c r="I930" s="46"/>
      <c r="J930" s="37"/>
      <c r="K930" s="37"/>
    </row>
    <row r="931">
      <c r="C931" s="37"/>
      <c r="H931" s="46"/>
      <c r="I931" s="46"/>
      <c r="J931" s="37"/>
      <c r="K931" s="37"/>
    </row>
    <row r="932">
      <c r="C932" s="37"/>
      <c r="H932" s="46"/>
      <c r="I932" s="46"/>
      <c r="J932" s="37"/>
      <c r="K932" s="37"/>
    </row>
    <row r="933">
      <c r="C933" s="37"/>
      <c r="H933" s="46"/>
      <c r="I933" s="46"/>
      <c r="J933" s="37"/>
      <c r="K933" s="37"/>
    </row>
    <row r="934">
      <c r="C934" s="37"/>
      <c r="H934" s="46"/>
      <c r="I934" s="46"/>
      <c r="J934" s="37"/>
      <c r="K934" s="37"/>
    </row>
    <row r="935">
      <c r="C935" s="37"/>
      <c r="H935" s="46"/>
      <c r="I935" s="46"/>
      <c r="J935" s="37"/>
      <c r="K935" s="37"/>
    </row>
    <row r="936">
      <c r="C936" s="37"/>
      <c r="H936" s="46"/>
      <c r="I936" s="46"/>
      <c r="J936" s="37"/>
      <c r="K936" s="37"/>
    </row>
    <row r="937">
      <c r="C937" s="37"/>
      <c r="H937" s="46"/>
      <c r="I937" s="46"/>
      <c r="J937" s="37"/>
      <c r="K937" s="37"/>
    </row>
    <row r="938">
      <c r="C938" s="37"/>
      <c r="H938" s="46"/>
      <c r="I938" s="46"/>
      <c r="J938" s="37"/>
      <c r="K938" s="37"/>
    </row>
    <row r="939">
      <c r="C939" s="37"/>
      <c r="H939" s="46"/>
      <c r="I939" s="46"/>
      <c r="J939" s="37"/>
      <c r="K939" s="37"/>
    </row>
    <row r="940">
      <c r="C940" s="37"/>
      <c r="H940" s="46"/>
      <c r="I940" s="46"/>
      <c r="J940" s="37"/>
      <c r="K940" s="37"/>
    </row>
    <row r="941">
      <c r="C941" s="37"/>
      <c r="H941" s="46"/>
      <c r="I941" s="46"/>
      <c r="J941" s="37"/>
      <c r="K941" s="37"/>
    </row>
    <row r="942">
      <c r="C942" s="37"/>
      <c r="H942" s="46"/>
      <c r="I942" s="46"/>
      <c r="J942" s="37"/>
      <c r="K942" s="37"/>
    </row>
    <row r="943">
      <c r="C943" s="37"/>
      <c r="H943" s="46"/>
      <c r="I943" s="46"/>
      <c r="J943" s="37"/>
      <c r="K943" s="37"/>
    </row>
    <row r="944">
      <c r="C944" s="37"/>
      <c r="H944" s="46"/>
      <c r="I944" s="46"/>
      <c r="J944" s="37"/>
      <c r="K944" s="37"/>
    </row>
    <row r="945">
      <c r="C945" s="37"/>
      <c r="H945" s="46"/>
      <c r="I945" s="46"/>
      <c r="J945" s="37"/>
      <c r="K945" s="37"/>
    </row>
    <row r="946">
      <c r="C946" s="37"/>
      <c r="H946" s="46"/>
      <c r="I946" s="46"/>
      <c r="J946" s="37"/>
      <c r="K946" s="37"/>
    </row>
    <row r="947">
      <c r="C947" s="37"/>
      <c r="H947" s="46"/>
      <c r="I947" s="46"/>
      <c r="J947" s="37"/>
      <c r="K947" s="37"/>
    </row>
    <row r="948">
      <c r="C948" s="37"/>
      <c r="H948" s="46"/>
      <c r="I948" s="46"/>
      <c r="J948" s="37"/>
      <c r="K948" s="37"/>
    </row>
    <row r="949">
      <c r="C949" s="37"/>
      <c r="H949" s="46"/>
      <c r="I949" s="46"/>
      <c r="J949" s="37"/>
      <c r="K949" s="37"/>
    </row>
    <row r="950">
      <c r="C950" s="37"/>
      <c r="H950" s="46"/>
      <c r="I950" s="46"/>
      <c r="J950" s="37"/>
      <c r="K950" s="37"/>
    </row>
    <row r="951">
      <c r="C951" s="37"/>
      <c r="H951" s="46"/>
      <c r="I951" s="46"/>
      <c r="J951" s="37"/>
      <c r="K951" s="37"/>
    </row>
    <row r="952">
      <c r="C952" s="37"/>
      <c r="H952" s="46"/>
      <c r="I952" s="46"/>
      <c r="J952" s="37"/>
      <c r="K952" s="37"/>
    </row>
    <row r="953">
      <c r="C953" s="37"/>
      <c r="H953" s="46"/>
      <c r="I953" s="46"/>
      <c r="J953" s="37"/>
      <c r="K953" s="37"/>
    </row>
    <row r="954">
      <c r="C954" s="37"/>
      <c r="H954" s="46"/>
      <c r="I954" s="46"/>
      <c r="J954" s="37"/>
      <c r="K954" s="37"/>
    </row>
    <row r="955">
      <c r="C955" s="37"/>
      <c r="H955" s="46"/>
      <c r="I955" s="46"/>
      <c r="J955" s="37"/>
      <c r="K955" s="37"/>
    </row>
    <row r="956">
      <c r="C956" s="37"/>
      <c r="H956" s="46"/>
      <c r="I956" s="46"/>
      <c r="J956" s="37"/>
      <c r="K956" s="37"/>
    </row>
    <row r="957">
      <c r="C957" s="37"/>
      <c r="H957" s="46"/>
      <c r="I957" s="46"/>
      <c r="J957" s="37"/>
      <c r="K957" s="37"/>
    </row>
    <row r="958">
      <c r="C958" s="37"/>
      <c r="H958" s="46"/>
      <c r="I958" s="46"/>
      <c r="J958" s="37"/>
      <c r="K958" s="37"/>
    </row>
    <row r="959">
      <c r="C959" s="37"/>
      <c r="H959" s="46"/>
      <c r="I959" s="46"/>
      <c r="J959" s="37"/>
      <c r="K959" s="37"/>
    </row>
    <row r="960">
      <c r="C960" s="37"/>
      <c r="H960" s="46"/>
      <c r="I960" s="46"/>
      <c r="J960" s="37"/>
      <c r="K960" s="37"/>
    </row>
    <row r="961">
      <c r="C961" s="37"/>
      <c r="H961" s="46"/>
      <c r="I961" s="46"/>
      <c r="J961" s="37"/>
      <c r="K961" s="37"/>
    </row>
    <row r="962">
      <c r="C962" s="37"/>
      <c r="H962" s="46"/>
      <c r="I962" s="46"/>
      <c r="J962" s="37"/>
      <c r="K962" s="37"/>
    </row>
    <row r="963">
      <c r="C963" s="37"/>
      <c r="H963" s="46"/>
      <c r="I963" s="46"/>
      <c r="J963" s="37"/>
      <c r="K963" s="37"/>
    </row>
    <row r="964">
      <c r="C964" s="37"/>
      <c r="H964" s="46"/>
      <c r="I964" s="46"/>
      <c r="J964" s="37"/>
      <c r="K964" s="37"/>
    </row>
    <row r="965">
      <c r="C965" s="37"/>
      <c r="H965" s="46"/>
      <c r="I965" s="46"/>
      <c r="J965" s="37"/>
      <c r="K965" s="37"/>
    </row>
    <row r="966">
      <c r="C966" s="37"/>
      <c r="H966" s="46"/>
      <c r="I966" s="46"/>
      <c r="J966" s="37"/>
      <c r="K966" s="37"/>
    </row>
    <row r="967">
      <c r="C967" s="37"/>
      <c r="H967" s="46"/>
      <c r="I967" s="46"/>
      <c r="J967" s="37"/>
      <c r="K967" s="37"/>
    </row>
    <row r="968">
      <c r="C968" s="37"/>
      <c r="H968" s="46"/>
      <c r="I968" s="46"/>
      <c r="J968" s="37"/>
      <c r="K968" s="37"/>
    </row>
    <row r="969">
      <c r="C969" s="37"/>
      <c r="H969" s="46"/>
      <c r="I969" s="46"/>
      <c r="J969" s="37"/>
      <c r="K969" s="37"/>
    </row>
    <row r="970">
      <c r="C970" s="37"/>
      <c r="H970" s="46"/>
      <c r="I970" s="46"/>
      <c r="J970" s="37"/>
      <c r="K970" s="37"/>
    </row>
    <row r="971">
      <c r="C971" s="37"/>
      <c r="H971" s="46"/>
      <c r="I971" s="46"/>
      <c r="J971" s="37"/>
      <c r="K971" s="37"/>
    </row>
    <row r="972">
      <c r="C972" s="37"/>
      <c r="H972" s="46"/>
      <c r="I972" s="46"/>
      <c r="J972" s="37"/>
      <c r="K972" s="37"/>
    </row>
    <row r="973">
      <c r="C973" s="37"/>
      <c r="H973" s="46"/>
      <c r="I973" s="46"/>
      <c r="J973" s="37"/>
      <c r="K973" s="37"/>
    </row>
    <row r="974">
      <c r="C974" s="37"/>
      <c r="H974" s="46"/>
      <c r="I974" s="46"/>
      <c r="J974" s="37"/>
      <c r="K974" s="37"/>
    </row>
    <row r="975">
      <c r="C975" s="37"/>
      <c r="H975" s="46"/>
      <c r="I975" s="46"/>
      <c r="J975" s="37"/>
      <c r="K975" s="37"/>
    </row>
    <row r="976">
      <c r="C976" s="37"/>
      <c r="H976" s="46"/>
      <c r="I976" s="46"/>
      <c r="J976" s="37"/>
      <c r="K976" s="37"/>
    </row>
    <row r="977">
      <c r="C977" s="37"/>
      <c r="H977" s="46"/>
      <c r="I977" s="46"/>
      <c r="J977" s="37"/>
      <c r="K977" s="37"/>
    </row>
    <row r="978">
      <c r="C978" s="37"/>
      <c r="H978" s="46"/>
      <c r="I978" s="46"/>
      <c r="J978" s="37"/>
      <c r="K978" s="37"/>
    </row>
    <row r="979">
      <c r="C979" s="37"/>
      <c r="H979" s="46"/>
      <c r="I979" s="46"/>
      <c r="J979" s="37"/>
      <c r="K979" s="37"/>
    </row>
    <row r="980">
      <c r="C980" s="37"/>
      <c r="H980" s="46"/>
      <c r="I980" s="46"/>
      <c r="J980" s="37"/>
      <c r="K980" s="37"/>
    </row>
    <row r="981">
      <c r="C981" s="37"/>
      <c r="H981" s="46"/>
      <c r="I981" s="46"/>
      <c r="J981" s="37"/>
      <c r="K981" s="37"/>
    </row>
    <row r="982">
      <c r="C982" s="37"/>
      <c r="H982" s="46"/>
      <c r="I982" s="46"/>
      <c r="J982" s="37"/>
      <c r="K982" s="37"/>
    </row>
    <row r="983">
      <c r="C983" s="37"/>
      <c r="H983" s="46"/>
      <c r="I983" s="46"/>
      <c r="J983" s="37"/>
      <c r="K983" s="37"/>
    </row>
    <row r="984">
      <c r="C984" s="37"/>
      <c r="H984" s="46"/>
      <c r="I984" s="46"/>
      <c r="J984" s="37"/>
      <c r="K984" s="37"/>
    </row>
    <row r="985">
      <c r="C985" s="37"/>
      <c r="H985" s="46"/>
      <c r="I985" s="46"/>
      <c r="J985" s="37"/>
      <c r="K985" s="37"/>
    </row>
    <row r="986">
      <c r="C986" s="37"/>
      <c r="H986" s="46"/>
      <c r="I986" s="46"/>
      <c r="J986" s="37"/>
      <c r="K986" s="37"/>
    </row>
    <row r="987">
      <c r="C987" s="37"/>
      <c r="H987" s="46"/>
      <c r="I987" s="46"/>
      <c r="J987" s="37"/>
      <c r="K987" s="37"/>
    </row>
    <row r="988">
      <c r="C988" s="37"/>
      <c r="H988" s="46"/>
      <c r="I988" s="46"/>
      <c r="J988" s="37"/>
      <c r="K988" s="37"/>
    </row>
    <row r="989">
      <c r="C989" s="37"/>
      <c r="H989" s="46"/>
      <c r="I989" s="46"/>
      <c r="J989" s="37"/>
      <c r="K989" s="37"/>
    </row>
    <row r="990">
      <c r="C990" s="37"/>
      <c r="H990" s="46"/>
      <c r="I990" s="46"/>
      <c r="J990" s="37"/>
      <c r="K990" s="37"/>
    </row>
    <row r="991">
      <c r="C991" s="37"/>
      <c r="H991" s="46"/>
      <c r="I991" s="46"/>
      <c r="J991" s="37"/>
      <c r="K991" s="37"/>
    </row>
    <row r="992">
      <c r="C992" s="37"/>
      <c r="H992" s="46"/>
      <c r="I992" s="46"/>
      <c r="J992" s="37"/>
      <c r="K992" s="37"/>
    </row>
    <row r="993">
      <c r="C993" s="37"/>
      <c r="H993" s="46"/>
      <c r="I993" s="46"/>
      <c r="J993" s="37"/>
      <c r="K993" s="37"/>
    </row>
    <row r="994">
      <c r="C994" s="37"/>
      <c r="H994" s="46"/>
      <c r="I994" s="46"/>
      <c r="J994" s="37"/>
      <c r="K994" s="37"/>
    </row>
    <row r="995">
      <c r="C995" s="37"/>
      <c r="H995" s="46"/>
      <c r="I995" s="46"/>
      <c r="J995" s="37"/>
      <c r="K995" s="37"/>
    </row>
    <row r="996">
      <c r="C996" s="37"/>
      <c r="H996" s="46"/>
      <c r="I996" s="46"/>
      <c r="J996" s="37"/>
      <c r="K996" s="37"/>
    </row>
    <row r="997">
      <c r="C997" s="37"/>
      <c r="H997" s="46"/>
      <c r="I997" s="46"/>
      <c r="J997" s="37"/>
      <c r="K997" s="37"/>
    </row>
    <row r="998">
      <c r="C998" s="37"/>
      <c r="H998" s="46"/>
      <c r="I998" s="46"/>
      <c r="J998" s="37"/>
      <c r="K998" s="37"/>
    </row>
    <row r="999">
      <c r="C999" s="37"/>
      <c r="H999" s="46"/>
      <c r="I999" s="46"/>
      <c r="J999" s="37"/>
      <c r="K999" s="37"/>
    </row>
    <row r="1000">
      <c r="C1000" s="37"/>
      <c r="H1000" s="46"/>
      <c r="I1000" s="46"/>
      <c r="J1000" s="37"/>
      <c r="K1000" s="37"/>
    </row>
  </sheetData>
  <dataValidations>
    <dataValidation type="list" allowBlank="1" sqref="K2:L2">
      <formula1>"Descending,Ascending"</formula1>
    </dataValidation>
    <dataValidation type="list" allowBlank="1" sqref="K1">
      <formula1>"Value Score,Avg Score,Times Drafted,Winning Lineups,Runner-up Lineups,Win Rate,Runner-up Rate,High Score,Low Score,Player"</formula1>
    </dataValidation>
    <dataValidation type="list" allowBlank="1" sqref="L1">
      <formula1>"Avg Score,Times Drafted,Winning Lineups,Runner-up Lineups,Win Rate,Runner-up Rate,High Score,Low Score"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3" max="3" width="12.63"/>
  </cols>
  <sheetData>
    <row r="1">
      <c r="A1" s="47" t="s">
        <v>15</v>
      </c>
      <c r="B1" s="47" t="s">
        <v>16</v>
      </c>
      <c r="C1" s="47" t="s">
        <v>17</v>
      </c>
      <c r="D1" s="47" t="s">
        <v>18</v>
      </c>
      <c r="E1" s="47" t="s">
        <v>20</v>
      </c>
      <c r="F1" s="47" t="s">
        <v>21</v>
      </c>
      <c r="G1" s="47" t="s">
        <v>22</v>
      </c>
    </row>
    <row r="2">
      <c r="A2" s="48" t="s">
        <v>10</v>
      </c>
      <c r="B2" s="49">
        <f>SUMPRODUCT(--(B11:B44&gt; C11:C44), --(B11:B44&gt; D11:D44), --(B11:B44&gt; E11:E44))</f>
        <v>5</v>
      </c>
      <c r="C2" s="49">
        <f>COUNTIF(B48:B81,2)</f>
        <v>5</v>
      </c>
      <c r="D2" s="50">
        <f>AVERAGEIF(B48:B81,"&lt;&gt;#N/A")</f>
        <v>2.68</v>
      </c>
      <c r="E2" s="50">
        <f>AVERAGEIF(B11:B44,"&gt;0")</f>
        <v>160.728</v>
      </c>
      <c r="F2" s="49">
        <f>MAXIFS(B11:B44,B11:B44,"&gt;0")</f>
        <v>218</v>
      </c>
      <c r="G2" s="49">
        <f>MINIFS(B11:B44,B11:B44,"&gt;0")</f>
        <v>108.4</v>
      </c>
    </row>
    <row r="3">
      <c r="A3" s="48" t="s">
        <v>11</v>
      </c>
      <c r="B3" s="49">
        <f>SUMPRODUCT(--(C11:C44&gt; B11:B44), --(C11:C44&gt; D11:D44), --(C11:C44&gt; E11:E44))</f>
        <v>7</v>
      </c>
      <c r="C3" s="49">
        <f>COUNTIF(C48:C81,2)</f>
        <v>7</v>
      </c>
      <c r="D3" s="50">
        <f>AVERAGEIF(C48:C81,"&lt;&gt;#N/A")</f>
        <v>2.4</v>
      </c>
      <c r="E3" s="50">
        <f>AVERAGEIF(C11:C44,"&gt;0")</f>
        <v>167.292</v>
      </c>
      <c r="F3" s="49">
        <f>MAXIFS(C11:C44,C11:C44,"&gt;0")</f>
        <v>226.1</v>
      </c>
      <c r="G3" s="49">
        <f>MINIFS(C11:C44,C11:C44,"&gt;0")</f>
        <v>120.6</v>
      </c>
    </row>
    <row r="4">
      <c r="A4" s="48" t="s">
        <v>12</v>
      </c>
      <c r="B4" s="49">
        <f>SUMPRODUCT(--(D11:D44&gt; C11:C44), --(D11:D44&gt; B11:B44), --(D11:D44&gt; E11:E44))</f>
        <v>3</v>
      </c>
      <c r="C4" s="49">
        <f>COUNTIF(D48:D81,2)</f>
        <v>8</v>
      </c>
      <c r="D4" s="50">
        <f>AVERAGEIF(D48:D81,"&lt;&gt;#N/A")</f>
        <v>2.708333333</v>
      </c>
      <c r="E4" s="50">
        <f>AVERAGEIF(D11:D44,"&gt;0")</f>
        <v>161.4208333</v>
      </c>
      <c r="F4" s="49">
        <f>MAXIFS(D11:D44,D11:D44,"&gt;0")</f>
        <v>214.4</v>
      </c>
      <c r="G4" s="49">
        <f>MINIFS(D11:D44,D11:D44,"&gt;0")</f>
        <v>116.7</v>
      </c>
    </row>
    <row r="5">
      <c r="A5" s="48" t="s">
        <v>13</v>
      </c>
      <c r="B5" s="49">
        <f>SUMPRODUCT(--(E11:E44&gt; C11:C44), --(E11:E44&gt; D11:D44), --(E11:E44&gt; B11:B44))</f>
        <v>10</v>
      </c>
      <c r="C5" s="49">
        <f>COUNTIF(E48:E81,2)</f>
        <v>5</v>
      </c>
      <c r="D5" s="50">
        <f>AVERAGEIF(E48:E81,"&lt;&gt;#N/A")</f>
        <v>2.16</v>
      </c>
      <c r="E5" s="50">
        <f>AVERAGEIF(E11:E44,"&gt;0")</f>
        <v>169.276</v>
      </c>
      <c r="F5" s="49">
        <f>MAXIFS(E11:E44,E11:E44,"&gt;0")</f>
        <v>231.4</v>
      </c>
      <c r="G5" s="49">
        <f>MINIFS(E11:E44,E11:E44,"&gt;0")</f>
        <v>107.5</v>
      </c>
    </row>
    <row r="9">
      <c r="A9" s="51" t="s">
        <v>25</v>
      </c>
      <c r="G9" s="51"/>
    </row>
    <row r="10">
      <c r="A10" s="52" t="s">
        <v>1</v>
      </c>
      <c r="B10" s="52" t="s">
        <v>10</v>
      </c>
      <c r="C10" s="52" t="s">
        <v>11</v>
      </c>
      <c r="D10" s="52" t="s">
        <v>12</v>
      </c>
      <c r="E10" s="52" t="s">
        <v>13</v>
      </c>
      <c r="F10" s="52"/>
      <c r="G10" s="52"/>
    </row>
    <row r="11">
      <c r="A11" s="53">
        <v>45766.0</v>
      </c>
      <c r="B11" s="21">
        <f>VLOOKUP("Andy",'41925'!$A$1:$I$35, 9,0)</f>
        <v>201.4</v>
      </c>
      <c r="C11" s="21">
        <f>VLOOKUP("Josh",'41925'!$A$1:$I$35, 9,0)</f>
        <v>226.1</v>
      </c>
      <c r="D11" s="21">
        <f>VLOOKUP("Jon",'41925'!$A$1:$I$35, 9,0)</f>
        <v>200.8</v>
      </c>
      <c r="E11" s="21">
        <f>VLOOKUP("Mark",'41925'!$A$1:$I$35, 9,0)</f>
        <v>177.3</v>
      </c>
    </row>
    <row r="12">
      <c r="A12" s="54">
        <v>45767.0</v>
      </c>
      <c r="B12" s="21">
        <f>VLOOKUP("Andy",'42025'!$A$1:$I$35, 9,0)</f>
        <v>177.4</v>
      </c>
      <c r="C12" s="21">
        <f>VLOOKUP("Josh",'42025'!$A$1:$I$35, 9,0)</f>
        <v>177.3</v>
      </c>
      <c r="D12" s="21">
        <f>VLOOKUP("Jon",'42025'!$A$1:$I$35, 9,0)</f>
        <v>164.4</v>
      </c>
      <c r="E12" s="21">
        <f>VLOOKUP("Mark",'42025'!$A$1:$I$35, 9,0)</f>
        <v>165</v>
      </c>
    </row>
    <row r="13">
      <c r="A13" s="53">
        <v>45768.0</v>
      </c>
      <c r="B13" s="21">
        <f>VLOOKUP("Andy",'42125'!$A$1:$I$35, 9,0)</f>
        <v>141.5</v>
      </c>
      <c r="C13" s="21">
        <f>VLOOKUP("Josh",'42125'!$A$1:$I$35, 9,0)</f>
        <v>153.6</v>
      </c>
      <c r="D13" s="21">
        <f>VLOOKUP("Jon",'42125'!$A$1:$I$35, 9,0)</f>
        <v>134.5</v>
      </c>
      <c r="E13" s="21">
        <f>VLOOKUP("Mark",'42125'!$A$1:$I$35, 9,0)</f>
        <v>160.9</v>
      </c>
    </row>
    <row r="14">
      <c r="A14" s="54">
        <v>45769.0</v>
      </c>
      <c r="B14" s="21">
        <f>VLOOKUP("Andy",'42225'!$A$1:$I$35, 9,0)</f>
        <v>205.1</v>
      </c>
      <c r="C14" s="21">
        <f>VLOOKUP("Josh",'42225'!$A$1:$I$35, 9,0)</f>
        <v>161.1</v>
      </c>
      <c r="D14" s="21">
        <f>VLOOKUP("Jon",'42225'!$A$1:$I$35, 9,0)</f>
        <v>172.3</v>
      </c>
      <c r="E14" s="21">
        <f>VLOOKUP("Mark",'42225'!$A$1:$I$35, 9,0)</f>
        <v>180.3</v>
      </c>
    </row>
    <row r="15">
      <c r="A15" s="53">
        <v>45770.0</v>
      </c>
      <c r="B15" s="21">
        <f>VLOOKUP("Andy",'42325'!$A$1:$I$35, 9,0)</f>
        <v>149.2</v>
      </c>
      <c r="C15" s="21">
        <f>VLOOKUP("Josh",'42325'!$A$1:$I$35, 9,0)</f>
        <v>184.4</v>
      </c>
      <c r="D15" s="21">
        <f>VLOOKUP("Jon",'42325'!$A$1:$I$35, 9,0)</f>
        <v>183.6</v>
      </c>
      <c r="E15" s="21">
        <f>VLOOKUP("Mark",'42325'!$A$1:$I$35, 9,0)</f>
        <v>162.2</v>
      </c>
    </row>
    <row r="16">
      <c r="A16" s="54">
        <v>45771.0</v>
      </c>
      <c r="B16" s="21">
        <f>VLOOKUP("Andy",'42425'!$A$1:$I$35, 9,0)</f>
        <v>171.5</v>
      </c>
      <c r="C16" s="21">
        <f>VLOOKUP("Josh",'42425'!$A$1:$I$35, 9,0)</f>
        <v>186.7</v>
      </c>
      <c r="D16" s="21">
        <f>VLOOKUP("Jon",'42425'!$A$1:$I$35, 9,0)</f>
        <v>168.7</v>
      </c>
      <c r="E16" s="21">
        <f>VLOOKUP("Mark",'42425'!$A$1:$I$35, 9,0)</f>
        <v>193.3</v>
      </c>
    </row>
    <row r="17">
      <c r="A17" s="53">
        <v>45772.0</v>
      </c>
      <c r="B17" s="21">
        <f>VLOOKUP("Andy",'42525'!$A$1:$I$35, 9,0)</f>
        <v>169</v>
      </c>
      <c r="C17" s="21">
        <f>VLOOKUP("Josh",'42525'!$A$1:$I$35, 9,0)</f>
        <v>151</v>
      </c>
      <c r="D17" s="21">
        <f>VLOOKUP("Jon",'42525'!$A$1:$I$35, 9,0)</f>
        <v>152.4</v>
      </c>
      <c r="E17" s="21">
        <f>VLOOKUP("Mark",'42525'!$A$1:$I$35, 9,0)</f>
        <v>203.1</v>
      </c>
    </row>
    <row r="18">
      <c r="A18" s="54">
        <v>45773.0</v>
      </c>
      <c r="B18" s="21">
        <f>VLOOKUP("Andy",'42625'!$A$1:$I$35, 9,0)</f>
        <v>201.7</v>
      </c>
      <c r="C18" s="21">
        <f>VLOOKUP("Josh",'42625'!$A$1:$I$35, 9,0)</f>
        <v>181.3</v>
      </c>
      <c r="E18" s="21">
        <f>VLOOKUP("Mark",'42625'!$A$1:$I$35, 9,0)</f>
        <v>187.1</v>
      </c>
    </row>
    <row r="19">
      <c r="A19" s="53">
        <v>45774.0</v>
      </c>
      <c r="B19" s="21">
        <f>VLOOKUP("Andy",'42725'!$A$1:$I$35, 9,0)</f>
        <v>189.2</v>
      </c>
      <c r="C19" s="21">
        <f>VLOOKUP("Josh",'42725'!$A$1:$I$35, 9,0)</f>
        <v>191.8</v>
      </c>
      <c r="D19" s="21">
        <f>VLOOKUP("Jon",'42725'!$A$1:$I$35, 9,0)</f>
        <v>214.4</v>
      </c>
      <c r="E19" s="21">
        <f>VLOOKUP("Mark",'42725'!$A$1:$I$35, 9,0)</f>
        <v>231.4</v>
      </c>
    </row>
    <row r="20">
      <c r="A20" s="54">
        <v>45775.0</v>
      </c>
      <c r="B20" s="21">
        <f>VLOOKUP("Andy",'42825'!$A$1:$I$35, 9,0)</f>
        <v>147.8</v>
      </c>
      <c r="C20" s="21">
        <f>VLOOKUP("Josh",'42825'!$A$1:$I$35, 9,0)</f>
        <v>120.6</v>
      </c>
      <c r="D20" s="21">
        <f>VLOOKUP("Jon",'42825'!$A$1:$I$35, 9,0)</f>
        <v>132.2</v>
      </c>
      <c r="E20" s="21">
        <f>VLOOKUP("Mark",'42825'!$A$1:$I$35, 9,0)</f>
        <v>107.5</v>
      </c>
    </row>
    <row r="21">
      <c r="A21" s="53">
        <v>45776.0</v>
      </c>
      <c r="B21" s="21">
        <f>VLOOKUP("Andy",'42925'!$A$1:$I$35, 9,0)</f>
        <v>218</v>
      </c>
      <c r="C21" s="21">
        <f>VLOOKUP("Josh",'42925'!$A$1:$I$35, 9,0)</f>
        <v>173.1</v>
      </c>
      <c r="D21" s="21">
        <f>VLOOKUP("Jon",'42925'!$A$1:$I$35, 9,0)</f>
        <v>208</v>
      </c>
      <c r="E21" s="21">
        <f>VLOOKUP("Mark",'42925'!$A$1:$I$35, 9,0)</f>
        <v>206.5</v>
      </c>
    </row>
    <row r="22">
      <c r="A22" s="54">
        <v>45777.0</v>
      </c>
      <c r="B22" s="21">
        <f>VLOOKUP("Andy",'43025'!$A$1:$I$35, 9,0)</f>
        <v>108.4</v>
      </c>
      <c r="C22" s="21">
        <f>VLOOKUP("Josh",'43025'!$A$1:$I$35, 9,0)</f>
        <v>164.3</v>
      </c>
      <c r="D22" s="21">
        <f>VLOOKUP("Jon",'43025'!$A$1:$I$35, 9,0)</f>
        <v>177.8</v>
      </c>
      <c r="E22" s="21">
        <f>VLOOKUP("Mark",'43025'!$A$1:$I$35, 9,0)</f>
        <v>134</v>
      </c>
    </row>
    <row r="23">
      <c r="A23" s="53">
        <v>45778.0</v>
      </c>
      <c r="B23" s="21">
        <f>VLOOKUP("Andy",'5125'!$A$1:$I$35, 9,0)</f>
        <v>155.9</v>
      </c>
      <c r="C23" s="21">
        <f>VLOOKUP("Josh",'5125'!$A$1:$I$35, 9,0)</f>
        <v>176.3</v>
      </c>
      <c r="D23" s="21">
        <f>VLOOKUP("Jon",'5125'!$A$1:$I$35, 9,0)</f>
        <v>178</v>
      </c>
      <c r="E23" s="21">
        <f>VLOOKUP("Mark",'5125'!$A$1:$I$35, 9,0)</f>
        <v>164.4</v>
      </c>
    </row>
    <row r="24">
      <c r="A24" s="54">
        <v>45779.0</v>
      </c>
      <c r="B24" s="21">
        <f>VLOOKUP("Andy",'5225'!$A$1:$I$35, 9,0)</f>
        <v>157.4</v>
      </c>
      <c r="C24" s="21">
        <f>VLOOKUP("Josh",'5225'!$A$1:$I$35, 9,0)</f>
        <v>164.6</v>
      </c>
      <c r="D24" s="21">
        <f>VLOOKUP("Jon",'5225'!$A$1:$I$35, 9,0)</f>
        <v>127.3</v>
      </c>
      <c r="E24" s="21">
        <f>VLOOKUP("Mark",'5225'!$A$1:$I$35, 9,0)</f>
        <v>167.3</v>
      </c>
    </row>
    <row r="25">
      <c r="A25" s="55">
        <v>45780.0</v>
      </c>
      <c r="B25" s="56"/>
      <c r="C25" s="56"/>
      <c r="D25" s="56"/>
      <c r="E25" s="56"/>
    </row>
    <row r="26">
      <c r="A26" s="54">
        <v>45781.0</v>
      </c>
      <c r="B26" s="21">
        <f>VLOOKUP("Andy",'5425'!$A$1:$I$35, 9,0)</f>
        <v>153.9</v>
      </c>
      <c r="C26" s="21">
        <f>VLOOKUP("Josh",'5425'!$A$1:$I$35, 9,0)</f>
        <v>138.8</v>
      </c>
      <c r="D26" s="21">
        <f>VLOOKUP("Jon",'5425'!$A$1:$I$35, 9,0)</f>
        <v>158.3</v>
      </c>
      <c r="E26" s="21">
        <f>VLOOKUP("Mark",'5425'!$A$1:$I$35, 9,0)</f>
        <v>192.4</v>
      </c>
    </row>
    <row r="27">
      <c r="A27" s="53">
        <v>45782.0</v>
      </c>
      <c r="B27" s="21">
        <f>VLOOKUP("Andy",'5525'!$A$1:$I$35, 9,0)</f>
        <v>193.1</v>
      </c>
      <c r="C27" s="21">
        <f>VLOOKUP("Josh",'5525'!$A$1:$I$35, 9,0)</f>
        <v>172</v>
      </c>
      <c r="D27" s="21">
        <f>VLOOKUP("Jon",'5525'!$A$1:$I$35, 9,0)</f>
        <v>195.7</v>
      </c>
      <c r="E27" s="21">
        <f>VLOOKUP("Mark",'5525'!$A$1:$I$35, 9,0)</f>
        <v>144.2</v>
      </c>
    </row>
    <row r="28">
      <c r="A28" s="54">
        <v>45783.0</v>
      </c>
      <c r="B28" s="21">
        <f>VLOOKUP("Andy",'5625'!$A$1:$I$35, 9,0)</f>
        <v>137.4</v>
      </c>
      <c r="C28" s="21">
        <f>VLOOKUP("Josh",'5625'!$A$1:$I$35, 9,0)</f>
        <v>219.6</v>
      </c>
      <c r="D28" s="21">
        <f>VLOOKUP("Jon",'5625'!$A$1:$I$35, 9,0)</f>
        <v>141.3</v>
      </c>
      <c r="E28" s="21">
        <f>VLOOKUP("Mark",'5625'!$A$1:$I$35, 9,0)</f>
        <v>159.6</v>
      </c>
    </row>
    <row r="29">
      <c r="A29" s="53">
        <v>45784.0</v>
      </c>
      <c r="B29" s="21">
        <f>VLOOKUP("Andy",'5725'!$A$1:$I$35, 9,0)</f>
        <v>165.4</v>
      </c>
      <c r="C29" s="21">
        <f>VLOOKUP("Josh",'5725'!$A$1:$I$35, 9,0)</f>
        <v>126</v>
      </c>
      <c r="D29" s="21">
        <f>VLOOKUP("Jon",'5725'!$A$1:$I$35, 9,0)</f>
        <v>123.2</v>
      </c>
      <c r="E29" s="21">
        <f>VLOOKUP("Mark",'5725'!$A$1:$I$35, 9,0)</f>
        <v>169.6</v>
      </c>
    </row>
    <row r="30">
      <c r="A30" s="54">
        <v>45785.0</v>
      </c>
      <c r="B30" s="21">
        <f>VLOOKUP("Andy",'5825'!$A$1:$I$35, 9,0)</f>
        <v>147.3</v>
      </c>
      <c r="C30" s="21">
        <f>VLOOKUP("Josh",'5825'!$A$1:$I$35, 9,0)</f>
        <v>193.6</v>
      </c>
      <c r="D30" s="21">
        <f>VLOOKUP("Jon",'5825'!$A$1:$I$35, 9,0)</f>
        <v>184.9</v>
      </c>
      <c r="E30" s="21">
        <f>VLOOKUP("Mark",'5825'!$A$1:$I$35, 9,0)</f>
        <v>156.3</v>
      </c>
    </row>
    <row r="31">
      <c r="A31" s="55">
        <v>45786.0</v>
      </c>
      <c r="B31" s="56"/>
      <c r="C31" s="56"/>
      <c r="D31" s="56"/>
      <c r="E31" s="56"/>
    </row>
    <row r="32">
      <c r="A32" s="54">
        <v>45787.0</v>
      </c>
      <c r="B32" s="21">
        <f>VLOOKUP("Andy",'51025'!$A$1:$I$35, 9,0)</f>
        <v>122</v>
      </c>
      <c r="C32" s="21">
        <f>VLOOKUP("Josh",'51025'!$A$1:$I$35, 9,0)</f>
        <v>186.9</v>
      </c>
      <c r="D32" s="21">
        <f>VLOOKUP("Jon",'51025'!$A$1:$I$35, 9,0)</f>
        <v>138.6</v>
      </c>
      <c r="E32" s="21">
        <f>VLOOKUP("Mark",'51025'!$A$1:$I$35, 9,0)</f>
        <v>121.5</v>
      </c>
    </row>
    <row r="33">
      <c r="A33" s="53">
        <v>45788.0</v>
      </c>
      <c r="B33" s="21">
        <f>VLOOKUP("Andy",'51125'!$A$1:$I$35, 9,0)</f>
        <v>122.2</v>
      </c>
      <c r="C33" s="21">
        <f>VLOOKUP("Josh",'51125'!$A$1:$I$35, 9,0)</f>
        <v>149.5</v>
      </c>
      <c r="D33" s="21">
        <f>VLOOKUP("Jon",'51125'!$A$1:$I$35, 9,0)</f>
        <v>116.7</v>
      </c>
      <c r="E33" s="21">
        <f>VLOOKUP("Mark",'51125'!$A$1:$I$35, 9,0)</f>
        <v>138.7</v>
      </c>
    </row>
    <row r="34">
      <c r="A34" s="54">
        <v>45789.0</v>
      </c>
      <c r="B34" s="21">
        <f>VLOOKUP("Andy",'51225'!$A$1:$I$35, 9,0)</f>
        <v>161.5</v>
      </c>
      <c r="C34" s="21">
        <f>VLOOKUP("Josh",'51225'!$A$1:$I$35, 9,0)</f>
        <v>122.1</v>
      </c>
      <c r="D34" s="21">
        <f>VLOOKUP("Jon",'51225'!$A$1:$I$35, 9,0)</f>
        <v>155.6</v>
      </c>
      <c r="E34" s="21">
        <f>VLOOKUP("Mark",'51225'!$A$1:$I$35, 9,0)</f>
        <v>170.7</v>
      </c>
    </row>
    <row r="35">
      <c r="A35" s="53">
        <v>45790.0</v>
      </c>
      <c r="B35" s="21">
        <f>VLOOKUP("Andy",'51325'!$A$1:$I$35, 9,0)</f>
        <v>154.5</v>
      </c>
      <c r="C35" s="21">
        <f>VLOOKUP("Josh",'51325'!$A$1:$I$35, 9,0)</f>
        <v>154.7</v>
      </c>
      <c r="D35" s="21">
        <f>VLOOKUP("Jon",'51325'!$A$1:$I$35, 9,0)</f>
        <v>144.5</v>
      </c>
      <c r="E35" s="21">
        <f>VLOOKUP("Mark",'51325'!$A$1:$I$35, 9,0)</f>
        <v>199.7</v>
      </c>
    </row>
    <row r="36">
      <c r="A36" s="54">
        <v>45791.0</v>
      </c>
      <c r="B36" s="21">
        <f>VLOOKUP("Andy",'51425'!$A$1:$I$35, 9,0)</f>
        <v>132.7</v>
      </c>
      <c r="C36" s="21">
        <f>VLOOKUP("Josh",'51425'!$A$1:$I$35, 9,0)</f>
        <v>173.1</v>
      </c>
      <c r="D36" s="21">
        <f>VLOOKUP("Jon",'51425'!$A$1:$I$35, 9,0)</f>
        <v>158.9</v>
      </c>
      <c r="E36" s="21">
        <f>VLOOKUP("Mark",'51425'!$A$1:$I$35, 9,0)</f>
        <v>172.4</v>
      </c>
    </row>
    <row r="37">
      <c r="A37" s="53">
        <v>45792.0</v>
      </c>
      <c r="B37" s="21">
        <f>VLOOKUP("Andy",'51525'!$A$1:$I$35, 9,0)</f>
        <v>134.7</v>
      </c>
      <c r="C37" s="21">
        <f>VLOOKUP("Josh",'51525'!$A$1:$I$35, 9,0)</f>
        <v>133.8</v>
      </c>
      <c r="D37" s="21">
        <f>VLOOKUP("Jon",'51525'!$A$1:$I$35, 9,0)</f>
        <v>142</v>
      </c>
      <c r="E37" s="21">
        <f>VLOOKUP("Mark",'51525'!$A$1:$I$35, 9,0)</f>
        <v>166.5</v>
      </c>
    </row>
    <row r="38">
      <c r="A38" s="54">
        <v>45793.0</v>
      </c>
    </row>
    <row r="39">
      <c r="A39" s="53">
        <v>45794.0</v>
      </c>
    </row>
    <row r="40">
      <c r="A40" s="54">
        <v>45795.0</v>
      </c>
    </row>
    <row r="41">
      <c r="A41" s="53">
        <v>45796.0</v>
      </c>
    </row>
    <row r="42">
      <c r="A42" s="54">
        <v>45797.0</v>
      </c>
    </row>
    <row r="43">
      <c r="A43" s="53">
        <v>45798.0</v>
      </c>
    </row>
    <row r="44">
      <c r="A44" s="54">
        <v>45799.0</v>
      </c>
    </row>
    <row r="45">
      <c r="A45" s="57"/>
    </row>
    <row r="46">
      <c r="A46" s="58" t="s">
        <v>27</v>
      </c>
    </row>
    <row r="47">
      <c r="A47" s="52" t="s">
        <v>1</v>
      </c>
      <c r="B47" s="52" t="s">
        <v>10</v>
      </c>
      <c r="C47" s="52" t="s">
        <v>11</v>
      </c>
      <c r="D47" s="52" t="s">
        <v>12</v>
      </c>
      <c r="E47" s="52" t="s">
        <v>13</v>
      </c>
    </row>
    <row r="48">
      <c r="A48" s="53">
        <v>45766.0</v>
      </c>
      <c r="B48" s="21">
        <f t="shared" ref="B48:E48" si="1">RANK(B11,$B11:$E11,0)</f>
        <v>2</v>
      </c>
      <c r="C48" s="21">
        <f t="shared" si="1"/>
        <v>1</v>
      </c>
      <c r="D48" s="21">
        <f t="shared" si="1"/>
        <v>3</v>
      </c>
      <c r="E48" s="21">
        <f t="shared" si="1"/>
        <v>4</v>
      </c>
    </row>
    <row r="49">
      <c r="A49" s="54">
        <v>45767.0</v>
      </c>
      <c r="B49" s="21">
        <f t="shared" ref="B49:E49" si="2">RANK(B12,$B12:$E12,0)</f>
        <v>1</v>
      </c>
      <c r="C49" s="21">
        <f t="shared" si="2"/>
        <v>2</v>
      </c>
      <c r="D49" s="21">
        <f t="shared" si="2"/>
        <v>4</v>
      </c>
      <c r="E49" s="21">
        <f t="shared" si="2"/>
        <v>3</v>
      </c>
    </row>
    <row r="50">
      <c r="A50" s="53">
        <v>45768.0</v>
      </c>
      <c r="B50" s="21">
        <f t="shared" ref="B50:E50" si="3">RANK(B13,$B13:$E13,0)</f>
        <v>3</v>
      </c>
      <c r="C50" s="21">
        <f t="shared" si="3"/>
        <v>2</v>
      </c>
      <c r="D50" s="21">
        <f t="shared" si="3"/>
        <v>4</v>
      </c>
      <c r="E50" s="21">
        <f t="shared" si="3"/>
        <v>1</v>
      </c>
    </row>
    <row r="51">
      <c r="A51" s="54">
        <v>45769.0</v>
      </c>
      <c r="B51" s="21">
        <f t="shared" ref="B51:E51" si="4">RANK(B14,$B14:$E14,0)</f>
        <v>1</v>
      </c>
      <c r="C51" s="21">
        <f t="shared" si="4"/>
        <v>4</v>
      </c>
      <c r="D51" s="21">
        <f t="shared" si="4"/>
        <v>3</v>
      </c>
      <c r="E51" s="21">
        <f t="shared" si="4"/>
        <v>2</v>
      </c>
    </row>
    <row r="52">
      <c r="A52" s="53">
        <v>45770.0</v>
      </c>
      <c r="B52" s="21">
        <f t="shared" ref="B52:E52" si="5">RANK(B15,$B15:$E15,0)</f>
        <v>4</v>
      </c>
      <c r="C52" s="21">
        <f t="shared" si="5"/>
        <v>1</v>
      </c>
      <c r="D52" s="21">
        <f t="shared" si="5"/>
        <v>2</v>
      </c>
      <c r="E52" s="21">
        <f t="shared" si="5"/>
        <v>3</v>
      </c>
    </row>
    <row r="53">
      <c r="A53" s="54">
        <v>45771.0</v>
      </c>
      <c r="B53" s="21">
        <f t="shared" ref="B53:E53" si="6">RANK(B16,$B16:$E16,0)</f>
        <v>3</v>
      </c>
      <c r="C53" s="21">
        <f t="shared" si="6"/>
        <v>2</v>
      </c>
      <c r="D53" s="21">
        <f t="shared" si="6"/>
        <v>4</v>
      </c>
      <c r="E53" s="21">
        <f t="shared" si="6"/>
        <v>1</v>
      </c>
    </row>
    <row r="54">
      <c r="A54" s="53">
        <v>45772.0</v>
      </c>
      <c r="B54" s="21">
        <f t="shared" ref="B54:E54" si="7">RANK(B17,$B17:$E17,0)</f>
        <v>2</v>
      </c>
      <c r="C54" s="21">
        <f t="shared" si="7"/>
        <v>4</v>
      </c>
      <c r="D54" s="21">
        <f t="shared" si="7"/>
        <v>3</v>
      </c>
      <c r="E54" s="21">
        <f t="shared" si="7"/>
        <v>1</v>
      </c>
    </row>
    <row r="55">
      <c r="A55" s="54">
        <v>45773.0</v>
      </c>
      <c r="B55" s="21">
        <f t="shared" ref="B55:C55" si="8">RANK(B18,$B18:$E18,0)</f>
        <v>1</v>
      </c>
      <c r="C55" s="21">
        <f t="shared" si="8"/>
        <v>3</v>
      </c>
      <c r="E55" s="21">
        <f>RANK(E18,$B18:$E18,0)</f>
        <v>2</v>
      </c>
    </row>
    <row r="56">
      <c r="A56" s="53">
        <v>45774.0</v>
      </c>
      <c r="B56" s="21">
        <f t="shared" ref="B56:E56" si="9">RANK(B19,$B19:$E19,0)</f>
        <v>4</v>
      </c>
      <c r="C56" s="21">
        <f t="shared" si="9"/>
        <v>3</v>
      </c>
      <c r="D56" s="21">
        <f t="shared" si="9"/>
        <v>2</v>
      </c>
      <c r="E56" s="21">
        <f t="shared" si="9"/>
        <v>1</v>
      </c>
    </row>
    <row r="57">
      <c r="A57" s="54">
        <v>45775.0</v>
      </c>
      <c r="B57" s="21">
        <f t="shared" ref="B57:E57" si="10">RANK(B20,$B20:$E20,0)</f>
        <v>1</v>
      </c>
      <c r="C57" s="21">
        <f t="shared" si="10"/>
        <v>3</v>
      </c>
      <c r="D57" s="21">
        <f t="shared" si="10"/>
        <v>2</v>
      </c>
      <c r="E57" s="21">
        <f t="shared" si="10"/>
        <v>4</v>
      </c>
    </row>
    <row r="58">
      <c r="A58" s="53">
        <v>45776.0</v>
      </c>
      <c r="B58" s="21">
        <f t="shared" ref="B58:E58" si="11">RANK(B21,$B21:$E21,0)</f>
        <v>1</v>
      </c>
      <c r="C58" s="21">
        <f t="shared" si="11"/>
        <v>4</v>
      </c>
      <c r="D58" s="21">
        <f t="shared" si="11"/>
        <v>2</v>
      </c>
      <c r="E58" s="21">
        <f t="shared" si="11"/>
        <v>3</v>
      </c>
    </row>
    <row r="59">
      <c r="A59" s="54">
        <v>45777.0</v>
      </c>
      <c r="B59" s="21">
        <f t="shared" ref="B59:E59" si="12">RANK(B22,$B22:$E22,0)</f>
        <v>4</v>
      </c>
      <c r="C59" s="21">
        <f t="shared" si="12"/>
        <v>2</v>
      </c>
      <c r="D59" s="21">
        <f t="shared" si="12"/>
        <v>1</v>
      </c>
      <c r="E59" s="21">
        <f t="shared" si="12"/>
        <v>3</v>
      </c>
    </row>
    <row r="60">
      <c r="A60" s="53">
        <v>45778.0</v>
      </c>
      <c r="B60" s="21">
        <f t="shared" ref="B60:E60" si="13">RANK(B23,$B23:$E23,0)</f>
        <v>4</v>
      </c>
      <c r="C60" s="21">
        <f t="shared" si="13"/>
        <v>2</v>
      </c>
      <c r="D60" s="21">
        <f t="shared" si="13"/>
        <v>1</v>
      </c>
      <c r="E60" s="21">
        <f t="shared" si="13"/>
        <v>3</v>
      </c>
    </row>
    <row r="61">
      <c r="A61" s="54">
        <v>45779.0</v>
      </c>
      <c r="B61" s="21">
        <f t="shared" ref="B61:E61" si="14">RANK(B24,$B24:$E24,0)</f>
        <v>3</v>
      </c>
      <c r="C61" s="21">
        <f t="shared" si="14"/>
        <v>2</v>
      </c>
      <c r="D61" s="21">
        <f t="shared" si="14"/>
        <v>4</v>
      </c>
      <c r="E61" s="21">
        <f t="shared" si="14"/>
        <v>1</v>
      </c>
    </row>
    <row r="62">
      <c r="A62" s="55">
        <v>45780.0</v>
      </c>
      <c r="B62" s="56"/>
      <c r="C62" s="56"/>
      <c r="D62" s="56"/>
      <c r="E62" s="56"/>
    </row>
    <row r="63">
      <c r="A63" s="54">
        <v>45781.0</v>
      </c>
      <c r="B63" s="21">
        <f t="shared" ref="B63:E63" si="15">RANK(B26,$B26:$E26,0)</f>
        <v>3</v>
      </c>
      <c r="C63" s="21">
        <f t="shared" si="15"/>
        <v>4</v>
      </c>
      <c r="D63" s="21">
        <f t="shared" si="15"/>
        <v>2</v>
      </c>
      <c r="E63" s="21">
        <f t="shared" si="15"/>
        <v>1</v>
      </c>
    </row>
    <row r="64">
      <c r="A64" s="53">
        <v>45782.0</v>
      </c>
      <c r="B64" s="21">
        <f t="shared" ref="B64:E64" si="16">RANK(B27,$B27:$E27,0)</f>
        <v>2</v>
      </c>
      <c r="C64" s="21">
        <f t="shared" si="16"/>
        <v>3</v>
      </c>
      <c r="D64" s="21">
        <f t="shared" si="16"/>
        <v>1</v>
      </c>
      <c r="E64" s="21">
        <f t="shared" si="16"/>
        <v>4</v>
      </c>
    </row>
    <row r="65">
      <c r="A65" s="54">
        <v>45783.0</v>
      </c>
      <c r="B65" s="21">
        <f t="shared" ref="B65:E65" si="17">RANK(B28,$B28:$E28,0)</f>
        <v>4</v>
      </c>
      <c r="C65" s="21">
        <f t="shared" si="17"/>
        <v>1</v>
      </c>
      <c r="D65" s="21">
        <f t="shared" si="17"/>
        <v>3</v>
      </c>
      <c r="E65" s="21">
        <f t="shared" si="17"/>
        <v>2</v>
      </c>
    </row>
    <row r="66">
      <c r="A66" s="53">
        <v>45784.0</v>
      </c>
      <c r="B66" s="21">
        <f t="shared" ref="B66:E66" si="18">RANK(B29,$B29:$E29,0)</f>
        <v>2</v>
      </c>
      <c r="C66" s="21">
        <f t="shared" si="18"/>
        <v>3</v>
      </c>
      <c r="D66" s="21">
        <f t="shared" si="18"/>
        <v>4</v>
      </c>
      <c r="E66" s="21">
        <f t="shared" si="18"/>
        <v>1</v>
      </c>
    </row>
    <row r="67">
      <c r="A67" s="54">
        <v>45785.0</v>
      </c>
      <c r="B67" s="21">
        <f t="shared" ref="B67:E67" si="19">RANK(B30,$B30:$E30,0)</f>
        <v>4</v>
      </c>
      <c r="C67" s="21">
        <f t="shared" si="19"/>
        <v>1</v>
      </c>
      <c r="D67" s="21">
        <f t="shared" si="19"/>
        <v>2</v>
      </c>
      <c r="E67" s="21">
        <f t="shared" si="19"/>
        <v>3</v>
      </c>
    </row>
    <row r="68">
      <c r="A68" s="55">
        <v>45786.0</v>
      </c>
      <c r="B68" s="56"/>
      <c r="C68" s="56"/>
      <c r="D68" s="56"/>
      <c r="E68" s="56"/>
    </row>
    <row r="69">
      <c r="A69" s="54">
        <v>45787.0</v>
      </c>
      <c r="B69" s="21">
        <f t="shared" ref="B69:E69" si="20">RANK(B32,$B32:$E32,0)</f>
        <v>3</v>
      </c>
      <c r="C69" s="21">
        <f t="shared" si="20"/>
        <v>1</v>
      </c>
      <c r="D69" s="21">
        <f t="shared" si="20"/>
        <v>2</v>
      </c>
      <c r="E69" s="21">
        <f t="shared" si="20"/>
        <v>4</v>
      </c>
    </row>
    <row r="70">
      <c r="A70" s="53">
        <v>45788.0</v>
      </c>
      <c r="B70" s="21">
        <f t="shared" ref="B70:E70" si="21">RANK(B33,$B33:$E33,0)</f>
        <v>3</v>
      </c>
      <c r="C70" s="21">
        <f t="shared" si="21"/>
        <v>1</v>
      </c>
      <c r="D70" s="21">
        <f t="shared" si="21"/>
        <v>4</v>
      </c>
      <c r="E70" s="21">
        <f t="shared" si="21"/>
        <v>2</v>
      </c>
    </row>
    <row r="71">
      <c r="A71" s="54">
        <v>45789.0</v>
      </c>
      <c r="B71" s="21">
        <f t="shared" ref="B71:E71" si="22">RANK(B34,$B34:$E34,0)</f>
        <v>2</v>
      </c>
      <c r="C71" s="21">
        <f t="shared" si="22"/>
        <v>4</v>
      </c>
      <c r="D71" s="21">
        <f t="shared" si="22"/>
        <v>3</v>
      </c>
      <c r="E71" s="24">
        <f t="shared" si="22"/>
        <v>1</v>
      </c>
    </row>
    <row r="72">
      <c r="A72" s="53">
        <v>45790.0</v>
      </c>
      <c r="B72" s="21">
        <f t="shared" ref="B72:E72" si="23">RANK(B35,$B35:$E35,0)</f>
        <v>3</v>
      </c>
      <c r="C72" s="21">
        <f t="shared" si="23"/>
        <v>2</v>
      </c>
      <c r="D72" s="21">
        <f t="shared" si="23"/>
        <v>4</v>
      </c>
      <c r="E72" s="21">
        <f t="shared" si="23"/>
        <v>1</v>
      </c>
    </row>
    <row r="73">
      <c r="A73" s="54">
        <v>45791.0</v>
      </c>
      <c r="B73" s="21">
        <f t="shared" ref="B73:E73" si="24">RANK(B36,$B36:$E36,0)</f>
        <v>4</v>
      </c>
      <c r="C73" s="21">
        <f t="shared" si="24"/>
        <v>1</v>
      </c>
      <c r="D73" s="21">
        <f t="shared" si="24"/>
        <v>3</v>
      </c>
      <c r="E73" s="21">
        <f t="shared" si="24"/>
        <v>2</v>
      </c>
    </row>
    <row r="74">
      <c r="A74" s="53">
        <v>45792.0</v>
      </c>
      <c r="B74" s="21">
        <f t="shared" ref="B74:E74" si="25">RANK(B37,$B37:$E37,0)</f>
        <v>3</v>
      </c>
      <c r="C74" s="21">
        <f t="shared" si="25"/>
        <v>4</v>
      </c>
      <c r="D74" s="21">
        <f t="shared" si="25"/>
        <v>2</v>
      </c>
      <c r="E74" s="21">
        <f t="shared" si="25"/>
        <v>1</v>
      </c>
    </row>
    <row r="75">
      <c r="A75" s="54">
        <v>45793.0</v>
      </c>
      <c r="B75" s="21" t="str">
        <f t="shared" ref="B75:E75" si="26">RANK(B38,$B38:$E38,0)</f>
        <v>#N/A</v>
      </c>
      <c r="C75" s="21" t="str">
        <f t="shared" si="26"/>
        <v>#N/A</v>
      </c>
      <c r="D75" s="21" t="str">
        <f t="shared" si="26"/>
        <v>#N/A</v>
      </c>
      <c r="E75" s="21" t="str">
        <f t="shared" si="26"/>
        <v>#N/A</v>
      </c>
    </row>
    <row r="76">
      <c r="A76" s="53">
        <v>45794.0</v>
      </c>
      <c r="B76" s="21" t="str">
        <f t="shared" ref="B76:E76" si="27">RANK(B39,$B39:$E39,0)</f>
        <v>#N/A</v>
      </c>
      <c r="C76" s="21" t="str">
        <f t="shared" si="27"/>
        <v>#N/A</v>
      </c>
      <c r="D76" s="21" t="str">
        <f t="shared" si="27"/>
        <v>#N/A</v>
      </c>
      <c r="E76" s="21" t="str">
        <f t="shared" si="27"/>
        <v>#N/A</v>
      </c>
    </row>
    <row r="77">
      <c r="A77" s="54">
        <v>45795.0</v>
      </c>
      <c r="B77" s="21" t="str">
        <f t="shared" ref="B77:E77" si="28">RANK(B40,$B40:$E40,0)</f>
        <v>#N/A</v>
      </c>
      <c r="C77" s="21" t="str">
        <f t="shared" si="28"/>
        <v>#N/A</v>
      </c>
      <c r="D77" s="21" t="str">
        <f t="shared" si="28"/>
        <v>#N/A</v>
      </c>
      <c r="E77" s="21" t="str">
        <f t="shared" si="28"/>
        <v>#N/A</v>
      </c>
    </row>
    <row r="78">
      <c r="A78" s="53">
        <v>45796.0</v>
      </c>
      <c r="B78" s="21" t="str">
        <f t="shared" ref="B78:E78" si="29">RANK(B41,$B41:$E41,0)</f>
        <v>#N/A</v>
      </c>
      <c r="C78" s="21" t="str">
        <f t="shared" si="29"/>
        <v>#N/A</v>
      </c>
      <c r="D78" s="21" t="str">
        <f t="shared" si="29"/>
        <v>#N/A</v>
      </c>
      <c r="E78" s="21" t="str">
        <f t="shared" si="29"/>
        <v>#N/A</v>
      </c>
    </row>
    <row r="79">
      <c r="A79" s="54">
        <v>45797.0</v>
      </c>
      <c r="B79" s="21" t="str">
        <f t="shared" ref="B79:E79" si="30">RANK(B42,$B42:$E42,0)</f>
        <v>#N/A</v>
      </c>
      <c r="C79" s="21" t="str">
        <f t="shared" si="30"/>
        <v>#N/A</v>
      </c>
      <c r="D79" s="21" t="str">
        <f t="shared" si="30"/>
        <v>#N/A</v>
      </c>
      <c r="E79" s="21" t="str">
        <f t="shared" si="30"/>
        <v>#N/A</v>
      </c>
    </row>
    <row r="80">
      <c r="A80" s="53">
        <v>45798.0</v>
      </c>
      <c r="B80" s="21" t="str">
        <f t="shared" ref="B80:E80" si="31">RANK(B43,$B43:$E43,0)</f>
        <v>#N/A</v>
      </c>
      <c r="C80" s="21" t="str">
        <f t="shared" si="31"/>
        <v>#N/A</v>
      </c>
      <c r="D80" s="21" t="str">
        <f t="shared" si="31"/>
        <v>#N/A</v>
      </c>
      <c r="E80" s="21" t="str">
        <f t="shared" si="31"/>
        <v>#N/A</v>
      </c>
    </row>
    <row r="81">
      <c r="A81" s="54">
        <v>45799.0</v>
      </c>
      <c r="B81" s="21" t="str">
        <f t="shared" ref="B81:E81" si="32">RANK(B44,$B44:$E44,0)</f>
        <v>#N/A</v>
      </c>
      <c r="C81" s="21" t="str">
        <f t="shared" si="32"/>
        <v>#N/A</v>
      </c>
      <c r="D81" s="21" t="str">
        <f t="shared" si="32"/>
        <v>#N/A</v>
      </c>
      <c r="E81" s="21" t="str">
        <f t="shared" si="32"/>
        <v>#N/A</v>
      </c>
    </row>
  </sheetData>
  <mergeCells count="2">
    <mergeCell ref="A9:F9"/>
    <mergeCell ref="A46:E46"/>
  </mergeCells>
  <conditionalFormatting sqref="B2:B5">
    <cfRule type="expression" dxfId="0" priority="1">
      <formula>B2=max($B$2:$B$5)</formula>
    </cfRule>
  </conditionalFormatting>
  <conditionalFormatting sqref="B2:B5">
    <cfRule type="expression" dxfId="1" priority="2">
      <formula>B2=Min($B$2:$B$5)</formula>
    </cfRule>
  </conditionalFormatting>
  <conditionalFormatting sqref="E2:E5">
    <cfRule type="expression" dxfId="0" priority="3">
      <formula>E2=max($E$2:$E$5)</formula>
    </cfRule>
  </conditionalFormatting>
  <conditionalFormatting sqref="E2:E5">
    <cfRule type="expression" dxfId="1" priority="4">
      <formula>E2=min($E$2:$E$5)</formula>
    </cfRule>
  </conditionalFormatting>
  <conditionalFormatting sqref="F2:F5">
    <cfRule type="expression" dxfId="0" priority="5">
      <formula>F2=max($F$2:$F$5)</formula>
    </cfRule>
  </conditionalFormatting>
  <conditionalFormatting sqref="F2:F5">
    <cfRule type="expression" dxfId="1" priority="6">
      <formula>F2=min($F$2:$F$5)</formula>
    </cfRule>
  </conditionalFormatting>
  <conditionalFormatting sqref="C2:C5">
    <cfRule type="expression" dxfId="0" priority="7">
      <formula>C2=max($C$2:$C$5)</formula>
    </cfRule>
  </conditionalFormatting>
  <conditionalFormatting sqref="C2:C5">
    <cfRule type="expression" dxfId="1" priority="8">
      <formula>C2=min($C$2:$C$5)</formula>
    </cfRule>
  </conditionalFormatting>
  <conditionalFormatting sqref="D2:D5">
    <cfRule type="expression" dxfId="1" priority="9">
      <formula>D2=max($D$2:$D$5)</formula>
    </cfRule>
  </conditionalFormatting>
  <conditionalFormatting sqref="D2:D5">
    <cfRule type="expression" dxfId="0" priority="10">
      <formula>D2=min($D$2:$D$5)</formula>
    </cfRule>
  </conditionalFormatting>
  <conditionalFormatting sqref="G2:G5">
    <cfRule type="expression" dxfId="0" priority="11">
      <formula>G2=max($G$2:$G$5)</formula>
    </cfRule>
  </conditionalFormatting>
  <conditionalFormatting sqref="G2:G5">
    <cfRule type="expression" dxfId="1" priority="12">
      <formula>G2=min($G$2:$G$5)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4.88"/>
    <col customWidth="1" hidden="1" min="2" max="2" width="39.25"/>
    <col customWidth="1" hidden="1" min="3" max="3" width="16.88"/>
    <col hidden="1" min="4" max="10" width="12.63"/>
    <col customWidth="1" min="11" max="11" width="20.75"/>
    <col customWidth="1" min="12" max="12" width="15.63"/>
    <col customWidth="1" min="14" max="14" width="21.25"/>
    <col customWidth="1" min="18" max="18" width="13.63"/>
    <col customWidth="1" min="20" max="20" width="18.5"/>
    <col customWidth="1" min="21" max="21" width="14.88"/>
  </cols>
  <sheetData>
    <row r="1">
      <c r="A1" s="36" t="s">
        <v>57</v>
      </c>
      <c r="H1" s="36" t="s">
        <v>7</v>
      </c>
      <c r="L1" s="59"/>
      <c r="M1" s="59"/>
      <c r="N1" s="59"/>
    </row>
    <row r="2">
      <c r="A2" s="24" t="s">
        <v>58</v>
      </c>
      <c r="B2" s="60">
        <v>14.0</v>
      </c>
      <c r="C2" s="60">
        <v>6.0</v>
      </c>
      <c r="D2" s="60">
        <v>1.0</v>
      </c>
      <c r="E2" s="60">
        <v>0.0</v>
      </c>
      <c r="F2" s="60">
        <v>0.0</v>
      </c>
      <c r="G2" s="60">
        <v>1.0</v>
      </c>
      <c r="H2" s="61">
        <f>sum(B2+1.2*C2+1.5*D2+2*E2+2*F2)-G2</f>
        <v>21.7</v>
      </c>
      <c r="K2" s="21" t="s">
        <v>57</v>
      </c>
      <c r="L2" s="59" t="s">
        <v>59</v>
      </c>
      <c r="M2" s="59" t="s">
        <v>60</v>
      </c>
      <c r="N2" s="59" t="s">
        <v>61</v>
      </c>
      <c r="O2" s="21" t="s">
        <v>62</v>
      </c>
      <c r="P2" s="21" t="s">
        <v>28</v>
      </c>
      <c r="R2" s="36" t="s">
        <v>63</v>
      </c>
    </row>
    <row r="3">
      <c r="A3" s="24" t="s">
        <v>58</v>
      </c>
      <c r="B3" s="36">
        <v>25.0</v>
      </c>
      <c r="C3" s="36">
        <v>8.0</v>
      </c>
      <c r="D3" s="36">
        <v>1.0</v>
      </c>
      <c r="E3" s="36">
        <v>2.0</v>
      </c>
      <c r="F3" s="36">
        <v>0.0</v>
      </c>
      <c r="G3" s="36">
        <v>3.0</v>
      </c>
      <c r="H3" s="21">
        <v>37.1</v>
      </c>
      <c r="K3" s="21"/>
      <c r="L3" s="59" t="e">
        <v>#DIV/0!</v>
      </c>
      <c r="M3" s="59" t="e">
        <v>#NUM!</v>
      </c>
      <c r="N3" s="59">
        <v>0.0</v>
      </c>
      <c r="O3" s="21">
        <v>0.0</v>
      </c>
      <c r="P3" s="21">
        <v>0.0</v>
      </c>
    </row>
    <row r="4">
      <c r="A4" s="24" t="s">
        <v>58</v>
      </c>
      <c r="B4" s="60">
        <v>15.0</v>
      </c>
      <c r="C4" s="60">
        <v>7.0</v>
      </c>
      <c r="D4" s="60">
        <v>0.0</v>
      </c>
      <c r="E4" s="60">
        <v>0.0</v>
      </c>
      <c r="F4" s="60">
        <v>0.0</v>
      </c>
      <c r="G4" s="60">
        <v>2.0</v>
      </c>
      <c r="H4" s="61">
        <f t="shared" ref="H4:H17" si="1">sum(B4+1.2*C4+1.5*D4+2*E4+2*F4)-G4</f>
        <v>21.4</v>
      </c>
      <c r="K4" s="21" t="s">
        <v>64</v>
      </c>
      <c r="L4" s="59">
        <v>60.779999999999994</v>
      </c>
      <c r="M4" s="59">
        <v>57.4</v>
      </c>
      <c r="N4" s="59">
        <v>74.5</v>
      </c>
      <c r="O4" s="21">
        <v>52.9</v>
      </c>
      <c r="P4" s="21">
        <v>5.0</v>
      </c>
    </row>
    <row r="5">
      <c r="A5" s="62" t="s">
        <v>65</v>
      </c>
      <c r="B5" s="60">
        <v>31.0</v>
      </c>
      <c r="C5" s="60">
        <v>10.0</v>
      </c>
      <c r="D5" s="60">
        <v>5.0</v>
      </c>
      <c r="E5" s="60">
        <v>2.0</v>
      </c>
      <c r="F5" s="60">
        <v>0.0</v>
      </c>
      <c r="G5" s="60">
        <v>0.0</v>
      </c>
      <c r="H5" s="61">
        <f t="shared" si="1"/>
        <v>54.5</v>
      </c>
      <c r="K5" s="21" t="s">
        <v>66</v>
      </c>
      <c r="L5" s="59">
        <v>56.80769230769231</v>
      </c>
      <c r="M5" s="59">
        <v>54.4</v>
      </c>
      <c r="N5" s="59">
        <v>77.2</v>
      </c>
      <c r="O5" s="21">
        <v>33.6</v>
      </c>
      <c r="P5" s="21">
        <v>13.0</v>
      </c>
      <c r="T5" s="63" t="s">
        <v>67</v>
      </c>
      <c r="U5" s="64" t="s">
        <v>68</v>
      </c>
    </row>
    <row r="6">
      <c r="A6" s="62" t="s">
        <v>65</v>
      </c>
      <c r="B6" s="60">
        <v>26.0</v>
      </c>
      <c r="C6" s="60">
        <v>9.0</v>
      </c>
      <c r="D6" s="60">
        <v>1.0</v>
      </c>
      <c r="E6" s="60">
        <v>3.0</v>
      </c>
      <c r="F6" s="60">
        <v>0.0</v>
      </c>
      <c r="G6" s="60">
        <v>5.0</v>
      </c>
      <c r="H6" s="61">
        <f t="shared" si="1"/>
        <v>39.3</v>
      </c>
      <c r="K6" s="21" t="s">
        <v>69</v>
      </c>
      <c r="L6" s="59">
        <v>52.6125</v>
      </c>
      <c r="M6" s="59">
        <v>51.0</v>
      </c>
      <c r="N6" s="59">
        <v>66.6</v>
      </c>
      <c r="O6" s="21">
        <v>42.3</v>
      </c>
      <c r="P6" s="21">
        <v>8.0</v>
      </c>
      <c r="T6" s="65" t="s">
        <v>70</v>
      </c>
      <c r="U6" s="66">
        <v>6.0</v>
      </c>
    </row>
    <row r="7">
      <c r="A7" s="24" t="s">
        <v>65</v>
      </c>
      <c r="B7" s="60">
        <v>17.0</v>
      </c>
      <c r="C7" s="60">
        <v>16.0</v>
      </c>
      <c r="D7" s="60">
        <v>7.0</v>
      </c>
      <c r="E7" s="60">
        <v>2.0</v>
      </c>
      <c r="F7" s="60">
        <v>0.0</v>
      </c>
      <c r="G7" s="60">
        <v>3.0</v>
      </c>
      <c r="H7" s="61">
        <f t="shared" si="1"/>
        <v>47.7</v>
      </c>
      <c r="K7" s="21" t="s">
        <v>71</v>
      </c>
      <c r="L7" s="59">
        <v>49.6</v>
      </c>
      <c r="M7" s="59">
        <v>46.7</v>
      </c>
      <c r="N7" s="59">
        <v>63.0</v>
      </c>
      <c r="O7" s="21">
        <v>35.5</v>
      </c>
      <c r="P7" s="21">
        <v>5.0</v>
      </c>
      <c r="T7" s="65" t="s">
        <v>72</v>
      </c>
      <c r="U7" s="66">
        <v>5.0</v>
      </c>
    </row>
    <row r="8">
      <c r="A8" s="62" t="s">
        <v>65</v>
      </c>
      <c r="B8" s="60">
        <v>15.0</v>
      </c>
      <c r="C8" s="60">
        <v>11.0</v>
      </c>
      <c r="D8" s="60">
        <v>4.0</v>
      </c>
      <c r="E8" s="60">
        <v>0.0</v>
      </c>
      <c r="F8" s="60">
        <v>0.0</v>
      </c>
      <c r="G8" s="60">
        <v>1.0</v>
      </c>
      <c r="H8" s="61">
        <f t="shared" si="1"/>
        <v>33.2</v>
      </c>
      <c r="K8" s="21" t="s">
        <v>73</v>
      </c>
      <c r="L8" s="59">
        <v>47.540000000000006</v>
      </c>
      <c r="M8" s="59">
        <v>47.95</v>
      </c>
      <c r="N8" s="59">
        <v>62.0</v>
      </c>
      <c r="O8" s="21">
        <v>28.1</v>
      </c>
      <c r="P8" s="21">
        <v>10.0</v>
      </c>
      <c r="T8" s="65" t="s">
        <v>74</v>
      </c>
      <c r="U8" s="66">
        <v>4.0</v>
      </c>
    </row>
    <row r="9">
      <c r="A9" s="36" t="s">
        <v>65</v>
      </c>
      <c r="B9" s="60">
        <v>15.0</v>
      </c>
      <c r="C9" s="60">
        <v>9.0</v>
      </c>
      <c r="D9" s="60">
        <v>9.0</v>
      </c>
      <c r="E9" s="60">
        <v>2.0</v>
      </c>
      <c r="F9" s="60">
        <v>2.0</v>
      </c>
      <c r="G9" s="60">
        <v>1.0</v>
      </c>
      <c r="H9" s="61">
        <f t="shared" si="1"/>
        <v>46.3</v>
      </c>
      <c r="K9" s="21" t="s">
        <v>75</v>
      </c>
      <c r="L9" s="59">
        <v>47.36666666666667</v>
      </c>
      <c r="M9" s="59">
        <v>49.65</v>
      </c>
      <c r="N9" s="59">
        <v>54.9</v>
      </c>
      <c r="O9" s="21">
        <v>30.4</v>
      </c>
      <c r="P9" s="21">
        <v>6.0</v>
      </c>
      <c r="T9" s="65" t="s">
        <v>76</v>
      </c>
      <c r="U9" s="66">
        <v>4.0</v>
      </c>
    </row>
    <row r="10">
      <c r="A10" s="67" t="s">
        <v>77</v>
      </c>
      <c r="B10" s="68">
        <v>11.0</v>
      </c>
      <c r="C10" s="68">
        <v>1.0</v>
      </c>
      <c r="D10" s="68">
        <v>3.0</v>
      </c>
      <c r="E10" s="68">
        <v>0.0</v>
      </c>
      <c r="F10" s="68">
        <v>0.0</v>
      </c>
      <c r="G10" s="68">
        <v>0.0</v>
      </c>
      <c r="H10" s="61">
        <f t="shared" si="1"/>
        <v>16.7</v>
      </c>
      <c r="K10" s="21" t="s">
        <v>78</v>
      </c>
      <c r="L10" s="59">
        <v>47.25</v>
      </c>
      <c r="M10" s="59">
        <v>46.150000000000006</v>
      </c>
      <c r="N10" s="59">
        <v>63.8</v>
      </c>
      <c r="O10" s="21">
        <v>30.200000000000003</v>
      </c>
      <c r="P10" s="21">
        <v>10.0</v>
      </c>
      <c r="T10" s="65" t="s">
        <v>69</v>
      </c>
      <c r="U10" s="66">
        <v>4.0</v>
      </c>
    </row>
    <row r="11">
      <c r="A11" s="62" t="s">
        <v>77</v>
      </c>
      <c r="B11" s="60">
        <v>8.0</v>
      </c>
      <c r="C11" s="60">
        <v>9.0</v>
      </c>
      <c r="D11" s="60">
        <v>6.0</v>
      </c>
      <c r="E11" s="60">
        <v>1.0</v>
      </c>
      <c r="F11" s="60">
        <v>1.0</v>
      </c>
      <c r="G11" s="60">
        <v>2.0</v>
      </c>
      <c r="H11" s="61">
        <f t="shared" si="1"/>
        <v>29.8</v>
      </c>
      <c r="K11" s="21" t="s">
        <v>79</v>
      </c>
      <c r="L11" s="59">
        <v>46.50000000000001</v>
      </c>
      <c r="M11" s="59">
        <v>47.1</v>
      </c>
      <c r="N11" s="59">
        <v>56.9</v>
      </c>
      <c r="O11" s="21">
        <v>36.4</v>
      </c>
      <c r="P11" s="21">
        <v>5.0</v>
      </c>
      <c r="T11" s="65" t="s">
        <v>80</v>
      </c>
      <c r="U11" s="66">
        <v>4.0</v>
      </c>
    </row>
    <row r="12">
      <c r="A12" s="67" t="s">
        <v>77</v>
      </c>
      <c r="B12" s="60">
        <v>17.0</v>
      </c>
      <c r="C12" s="60">
        <v>9.0</v>
      </c>
      <c r="D12" s="60">
        <v>2.0</v>
      </c>
      <c r="E12" s="60">
        <v>1.0</v>
      </c>
      <c r="F12" s="60">
        <v>0.0</v>
      </c>
      <c r="G12" s="60">
        <v>1.0</v>
      </c>
      <c r="H12" s="69">
        <f t="shared" si="1"/>
        <v>31.8</v>
      </c>
      <c r="K12" s="21" t="s">
        <v>51</v>
      </c>
      <c r="L12" s="59">
        <v>45.58</v>
      </c>
      <c r="M12" s="59">
        <v>41.9</v>
      </c>
      <c r="N12" s="59">
        <v>57.3</v>
      </c>
      <c r="O12" s="21">
        <v>35.8</v>
      </c>
      <c r="P12" s="21">
        <v>5.0</v>
      </c>
      <c r="T12" s="65" t="s">
        <v>81</v>
      </c>
      <c r="U12" s="66">
        <v>3.0</v>
      </c>
    </row>
    <row r="13">
      <c r="A13" s="70" t="s">
        <v>77</v>
      </c>
      <c r="B13" s="60">
        <v>25.0</v>
      </c>
      <c r="C13" s="60">
        <v>6.0</v>
      </c>
      <c r="D13" s="60">
        <v>3.0</v>
      </c>
      <c r="E13" s="60">
        <v>5.0</v>
      </c>
      <c r="F13" s="60">
        <v>3.0</v>
      </c>
      <c r="G13" s="60">
        <v>3.0</v>
      </c>
      <c r="H13" s="69">
        <f t="shared" si="1"/>
        <v>49.7</v>
      </c>
      <c r="K13" s="21" t="s">
        <v>65</v>
      </c>
      <c r="L13" s="59">
        <v>45.44285714285714</v>
      </c>
      <c r="M13" s="59">
        <v>46.3</v>
      </c>
      <c r="N13" s="59">
        <v>54.5</v>
      </c>
      <c r="O13" s="21">
        <v>33.2</v>
      </c>
      <c r="P13" s="21">
        <v>7.0</v>
      </c>
      <c r="T13" s="65" t="s">
        <v>82</v>
      </c>
      <c r="U13" s="66">
        <v>3.0</v>
      </c>
    </row>
    <row r="14">
      <c r="A14" s="62" t="s">
        <v>83</v>
      </c>
      <c r="B14" s="60">
        <v>6.0</v>
      </c>
      <c r="C14" s="60">
        <v>1.0</v>
      </c>
      <c r="D14" s="60">
        <v>5.0</v>
      </c>
      <c r="E14" s="60">
        <v>1.0</v>
      </c>
      <c r="F14" s="60">
        <v>0.0</v>
      </c>
      <c r="G14" s="60">
        <v>0.0</v>
      </c>
      <c r="H14" s="69">
        <f t="shared" si="1"/>
        <v>16.7</v>
      </c>
      <c r="K14" s="21" t="s">
        <v>84</v>
      </c>
      <c r="L14" s="59">
        <v>43.78333333333334</v>
      </c>
      <c r="M14" s="59">
        <v>44.349999999999994</v>
      </c>
      <c r="N14" s="59">
        <v>62.0</v>
      </c>
      <c r="O14" s="21">
        <v>26.1</v>
      </c>
      <c r="P14" s="21">
        <v>12.0</v>
      </c>
      <c r="T14" s="65" t="s">
        <v>85</v>
      </c>
      <c r="U14" s="66">
        <v>3.0</v>
      </c>
    </row>
    <row r="15">
      <c r="A15" s="24" t="s">
        <v>86</v>
      </c>
      <c r="B15" s="60">
        <v>10.0</v>
      </c>
      <c r="C15" s="60">
        <v>1.0</v>
      </c>
      <c r="D15" s="60">
        <v>3.0</v>
      </c>
      <c r="E15" s="60">
        <v>0.0</v>
      </c>
      <c r="F15" s="60">
        <v>3.0</v>
      </c>
      <c r="G15" s="60">
        <v>2.0</v>
      </c>
      <c r="H15" s="69">
        <f t="shared" si="1"/>
        <v>19.7</v>
      </c>
      <c r="K15" s="21" t="s">
        <v>87</v>
      </c>
      <c r="L15" s="59">
        <v>43.67777777777778</v>
      </c>
      <c r="M15" s="59">
        <v>47.2</v>
      </c>
      <c r="N15" s="59">
        <v>72.5</v>
      </c>
      <c r="O15" s="21">
        <v>15.2</v>
      </c>
      <c r="P15" s="21">
        <v>9.0</v>
      </c>
      <c r="T15" s="65" t="s">
        <v>88</v>
      </c>
      <c r="U15" s="66">
        <v>3.0</v>
      </c>
    </row>
    <row r="16">
      <c r="A16" s="24" t="s">
        <v>86</v>
      </c>
      <c r="B16" s="60">
        <v>12.0</v>
      </c>
      <c r="C16" s="60">
        <v>5.0</v>
      </c>
      <c r="D16" s="60">
        <v>1.0</v>
      </c>
      <c r="E16" s="60">
        <v>0.0</v>
      </c>
      <c r="F16" s="60">
        <v>0.0</v>
      </c>
      <c r="G16" s="60">
        <v>3.0</v>
      </c>
      <c r="H16" s="69">
        <f t="shared" si="1"/>
        <v>16.5</v>
      </c>
      <c r="K16" s="21" t="s">
        <v>50</v>
      </c>
      <c r="L16" s="59">
        <v>42.728571428571435</v>
      </c>
      <c r="M16" s="59">
        <v>41.2</v>
      </c>
      <c r="N16" s="59">
        <v>55.1</v>
      </c>
      <c r="O16" s="21">
        <v>31.200000000000003</v>
      </c>
      <c r="P16" s="21">
        <v>7.0</v>
      </c>
      <c r="T16" s="65" t="s">
        <v>89</v>
      </c>
      <c r="U16" s="66">
        <v>3.0</v>
      </c>
    </row>
    <row r="17">
      <c r="A17" s="62" t="s">
        <v>78</v>
      </c>
      <c r="B17" s="60">
        <v>29.0</v>
      </c>
      <c r="C17" s="60">
        <v>8.0</v>
      </c>
      <c r="D17" s="60">
        <v>8.0</v>
      </c>
      <c r="E17" s="60">
        <v>2.0</v>
      </c>
      <c r="F17" s="60">
        <v>1.0</v>
      </c>
      <c r="G17" s="60">
        <v>2.0</v>
      </c>
      <c r="H17" s="61">
        <f t="shared" si="1"/>
        <v>54.6</v>
      </c>
      <c r="K17" s="21" t="s">
        <v>54</v>
      </c>
      <c r="L17" s="59">
        <v>41.16</v>
      </c>
      <c r="M17" s="59">
        <v>37.8</v>
      </c>
      <c r="N17" s="59">
        <v>55.4</v>
      </c>
      <c r="O17" s="21">
        <v>35.1</v>
      </c>
      <c r="P17" s="21">
        <v>5.0</v>
      </c>
      <c r="T17" s="65" t="s">
        <v>84</v>
      </c>
      <c r="U17" s="66">
        <v>3.0</v>
      </c>
    </row>
    <row r="18">
      <c r="A18" s="24" t="s">
        <v>78</v>
      </c>
      <c r="B18" s="36">
        <v>22.0</v>
      </c>
      <c r="C18" s="36">
        <v>8.0</v>
      </c>
      <c r="D18" s="36">
        <v>9.0</v>
      </c>
      <c r="E18" s="36">
        <v>1.0</v>
      </c>
      <c r="F18" s="36">
        <v>0.0</v>
      </c>
      <c r="G18" s="36">
        <v>1.0</v>
      </c>
      <c r="H18" s="21">
        <v>46.1</v>
      </c>
      <c r="K18" s="21" t="s">
        <v>90</v>
      </c>
      <c r="L18" s="59">
        <v>40.51428571428572</v>
      </c>
      <c r="M18" s="59">
        <v>39.7</v>
      </c>
      <c r="N18" s="59">
        <v>55.7</v>
      </c>
      <c r="O18" s="21">
        <v>28.1</v>
      </c>
      <c r="P18" s="21">
        <v>7.0</v>
      </c>
      <c r="T18" s="65" t="s">
        <v>91</v>
      </c>
      <c r="U18" s="66">
        <v>3.0</v>
      </c>
    </row>
    <row r="19">
      <c r="A19" s="62" t="s">
        <v>78</v>
      </c>
      <c r="B19" s="60">
        <v>25.0</v>
      </c>
      <c r="C19" s="60">
        <v>6.0</v>
      </c>
      <c r="D19" s="60">
        <v>0.0</v>
      </c>
      <c r="E19" s="60">
        <v>0.0</v>
      </c>
      <c r="F19" s="60">
        <v>0.0</v>
      </c>
      <c r="G19" s="60">
        <v>2.0</v>
      </c>
      <c r="H19" s="61">
        <f t="shared" ref="H19:H24" si="2">sum(B19+1.2*C19+1.5*D19+2*E19+2*F19)-G19</f>
        <v>30.2</v>
      </c>
      <c r="K19" s="21" t="s">
        <v>92</v>
      </c>
      <c r="L19" s="59">
        <v>38.95</v>
      </c>
      <c r="M19" s="59">
        <v>40.2</v>
      </c>
      <c r="N19" s="59">
        <v>56.5</v>
      </c>
      <c r="O19" s="21">
        <v>10.5</v>
      </c>
      <c r="P19" s="21">
        <v>10.0</v>
      </c>
      <c r="T19" s="65" t="s">
        <v>87</v>
      </c>
      <c r="U19" s="66">
        <v>3.0</v>
      </c>
    </row>
    <row r="20">
      <c r="A20" s="62" t="s">
        <v>78</v>
      </c>
      <c r="B20" s="60">
        <v>43.0</v>
      </c>
      <c r="C20" s="60">
        <v>9.0</v>
      </c>
      <c r="D20" s="60">
        <v>6.0</v>
      </c>
      <c r="E20" s="60">
        <v>0.0</v>
      </c>
      <c r="F20" s="60">
        <v>1.0</v>
      </c>
      <c r="G20" s="60">
        <v>1.0</v>
      </c>
      <c r="H20" s="61">
        <f t="shared" si="2"/>
        <v>63.8</v>
      </c>
      <c r="K20" s="21" t="s">
        <v>88</v>
      </c>
      <c r="L20" s="59">
        <v>38.730000000000004</v>
      </c>
      <c r="M20" s="59">
        <v>40.5</v>
      </c>
      <c r="N20" s="59">
        <v>56.0</v>
      </c>
      <c r="O20" s="21">
        <v>22.5</v>
      </c>
      <c r="P20" s="21">
        <v>10.0</v>
      </c>
      <c r="T20" s="65" t="s">
        <v>93</v>
      </c>
      <c r="U20" s="66">
        <v>3.0</v>
      </c>
    </row>
    <row r="21">
      <c r="A21" s="36" t="s">
        <v>78</v>
      </c>
      <c r="B21" s="60">
        <v>15.0</v>
      </c>
      <c r="C21" s="60">
        <v>11.0</v>
      </c>
      <c r="D21" s="60">
        <v>8.0</v>
      </c>
      <c r="E21" s="60">
        <v>3.0</v>
      </c>
      <c r="F21" s="60">
        <v>0.0</v>
      </c>
      <c r="G21" s="60">
        <v>0.0</v>
      </c>
      <c r="H21" s="61">
        <f t="shared" si="2"/>
        <v>46.2</v>
      </c>
      <c r="K21" s="21" t="s">
        <v>72</v>
      </c>
      <c r="L21" s="59">
        <v>37.20769230769231</v>
      </c>
      <c r="M21" s="59">
        <v>35.2</v>
      </c>
      <c r="N21" s="59">
        <v>66.5</v>
      </c>
      <c r="O21" s="21">
        <v>20.3</v>
      </c>
      <c r="P21" s="21">
        <v>13.0</v>
      </c>
      <c r="T21" s="65" t="s">
        <v>94</v>
      </c>
      <c r="U21" s="66">
        <v>3.0</v>
      </c>
    </row>
    <row r="22">
      <c r="A22" s="24" t="s">
        <v>95</v>
      </c>
      <c r="B22" s="60">
        <v>5.0</v>
      </c>
      <c r="C22" s="60">
        <v>5.0</v>
      </c>
      <c r="D22" s="60">
        <v>0.0</v>
      </c>
      <c r="E22" s="60">
        <v>2.0</v>
      </c>
      <c r="F22" s="60">
        <v>0.0</v>
      </c>
      <c r="G22" s="71">
        <v>2.0</v>
      </c>
      <c r="H22" s="72">
        <f t="shared" si="2"/>
        <v>13</v>
      </c>
      <c r="K22" s="21" t="s">
        <v>80</v>
      </c>
      <c r="L22" s="59">
        <v>37.18</v>
      </c>
      <c r="M22" s="59">
        <v>37.099999999999994</v>
      </c>
      <c r="N22" s="59">
        <v>44.7</v>
      </c>
      <c r="O22" s="21">
        <v>28.1</v>
      </c>
      <c r="P22" s="21">
        <v>10.0</v>
      </c>
      <c r="T22" s="65" t="s">
        <v>78</v>
      </c>
      <c r="U22" s="66">
        <v>3.0</v>
      </c>
    </row>
    <row r="23">
      <c r="A23" s="62" t="s">
        <v>96</v>
      </c>
      <c r="B23" s="60">
        <v>16.0</v>
      </c>
      <c r="C23" s="60">
        <v>5.0</v>
      </c>
      <c r="D23" s="60">
        <v>5.0</v>
      </c>
      <c r="E23" s="60">
        <v>0.0</v>
      </c>
      <c r="F23" s="60">
        <v>0.0</v>
      </c>
      <c r="G23" s="71">
        <v>1.0</v>
      </c>
      <c r="H23" s="73">
        <f t="shared" si="2"/>
        <v>28.5</v>
      </c>
      <c r="K23" s="21" t="s">
        <v>74</v>
      </c>
      <c r="L23" s="59">
        <v>36.7375</v>
      </c>
      <c r="M23" s="59">
        <v>39.1</v>
      </c>
      <c r="N23" s="59">
        <v>61.9</v>
      </c>
      <c r="O23" s="21">
        <v>14.7</v>
      </c>
      <c r="P23" s="21">
        <v>8.0</v>
      </c>
      <c r="T23" s="65" t="s">
        <v>77</v>
      </c>
      <c r="U23" s="66">
        <v>3.0</v>
      </c>
    </row>
    <row r="24">
      <c r="A24" s="62" t="s">
        <v>96</v>
      </c>
      <c r="B24" s="60">
        <v>20.0</v>
      </c>
      <c r="C24" s="60">
        <v>7.0</v>
      </c>
      <c r="D24" s="60">
        <v>4.0</v>
      </c>
      <c r="E24" s="60">
        <v>0.0</v>
      </c>
      <c r="F24" s="60">
        <v>1.0</v>
      </c>
      <c r="G24" s="71">
        <v>4.0</v>
      </c>
      <c r="H24" s="73">
        <f t="shared" si="2"/>
        <v>32.4</v>
      </c>
      <c r="K24" s="21" t="s">
        <v>76</v>
      </c>
      <c r="L24" s="59">
        <v>36.73636363636363</v>
      </c>
      <c r="M24" s="59">
        <v>41.1</v>
      </c>
      <c r="N24" s="59">
        <v>51.4</v>
      </c>
      <c r="O24" s="21">
        <v>5.4</v>
      </c>
      <c r="P24" s="21">
        <v>11.0</v>
      </c>
      <c r="T24" s="65" t="s">
        <v>92</v>
      </c>
      <c r="U24" s="66">
        <v>2.0</v>
      </c>
    </row>
    <row r="25">
      <c r="A25" s="24" t="s">
        <v>96</v>
      </c>
      <c r="B25" s="36">
        <v>16.0</v>
      </c>
      <c r="C25" s="36">
        <v>3.0</v>
      </c>
      <c r="D25" s="36">
        <v>3.0</v>
      </c>
      <c r="E25" s="36">
        <v>0.0</v>
      </c>
      <c r="F25" s="36">
        <v>0.0</v>
      </c>
      <c r="G25" s="74">
        <v>2.0</v>
      </c>
      <c r="H25" s="75">
        <v>22.1</v>
      </c>
      <c r="K25" s="21" t="s">
        <v>56</v>
      </c>
      <c r="L25" s="59">
        <v>36.574999999999996</v>
      </c>
      <c r="M25" s="59">
        <v>36.849999999999994</v>
      </c>
      <c r="N25" s="59">
        <v>44.3</v>
      </c>
      <c r="O25" s="21">
        <v>28.299999999999997</v>
      </c>
      <c r="P25" s="21">
        <v>4.0</v>
      </c>
      <c r="T25" s="65" t="s">
        <v>73</v>
      </c>
      <c r="U25" s="66">
        <v>2.0</v>
      </c>
    </row>
    <row r="26">
      <c r="A26" s="76" t="s">
        <v>96</v>
      </c>
      <c r="B26" s="77">
        <v>12.0</v>
      </c>
      <c r="C26" s="77">
        <v>5.0</v>
      </c>
      <c r="D26" s="77">
        <v>2.0</v>
      </c>
      <c r="E26" s="77">
        <v>0.0</v>
      </c>
      <c r="F26" s="77">
        <v>0.0</v>
      </c>
      <c r="G26" s="78">
        <v>6.0</v>
      </c>
      <c r="H26" s="73">
        <f t="shared" ref="H26:H35" si="3">sum(B26+1.2*C26+1.5*D26+2*E26+2*F26)-G26</f>
        <v>15</v>
      </c>
      <c r="K26" s="21" t="s">
        <v>70</v>
      </c>
      <c r="L26" s="59">
        <v>36.475</v>
      </c>
      <c r="M26" s="59">
        <v>35.8</v>
      </c>
      <c r="N26" s="59">
        <v>55.7</v>
      </c>
      <c r="O26" s="21">
        <v>19.2</v>
      </c>
      <c r="P26" s="21">
        <v>12.0</v>
      </c>
      <c r="T26" s="65" t="s">
        <v>97</v>
      </c>
      <c r="U26" s="66">
        <v>2.0</v>
      </c>
    </row>
    <row r="27">
      <c r="A27" s="24" t="s">
        <v>56</v>
      </c>
      <c r="B27" s="60">
        <v>24.0</v>
      </c>
      <c r="C27" s="60">
        <v>9.0</v>
      </c>
      <c r="D27" s="60">
        <v>3.0</v>
      </c>
      <c r="E27" s="60">
        <v>2.0</v>
      </c>
      <c r="F27" s="60">
        <v>1.0</v>
      </c>
      <c r="G27" s="71">
        <v>1.0</v>
      </c>
      <c r="H27" s="73">
        <f t="shared" si="3"/>
        <v>44.3</v>
      </c>
      <c r="K27" s="21" t="s">
        <v>98</v>
      </c>
      <c r="L27" s="59">
        <v>35.372727272727275</v>
      </c>
      <c r="M27" s="59">
        <v>33.2</v>
      </c>
      <c r="N27" s="59">
        <v>54.5</v>
      </c>
      <c r="O27" s="21">
        <v>25.7</v>
      </c>
      <c r="P27" s="21">
        <v>11.0</v>
      </c>
      <c r="T27" s="65" t="s">
        <v>51</v>
      </c>
      <c r="U27" s="66">
        <v>2.0</v>
      </c>
    </row>
    <row r="28">
      <c r="A28" s="24" t="s">
        <v>56</v>
      </c>
      <c r="B28" s="60">
        <v>13.0</v>
      </c>
      <c r="C28" s="60">
        <v>12.0</v>
      </c>
      <c r="D28" s="60">
        <v>4.0</v>
      </c>
      <c r="E28" s="60">
        <v>1.0</v>
      </c>
      <c r="F28" s="60">
        <v>0.0</v>
      </c>
      <c r="G28" s="71">
        <v>3.0</v>
      </c>
      <c r="H28" s="73">
        <f t="shared" si="3"/>
        <v>32.4</v>
      </c>
      <c r="K28" s="21" t="s">
        <v>99</v>
      </c>
      <c r="L28" s="59">
        <v>34.885714285714286</v>
      </c>
      <c r="M28" s="59">
        <v>36.4</v>
      </c>
      <c r="N28" s="59">
        <v>46.4</v>
      </c>
      <c r="O28" s="21">
        <v>24.2</v>
      </c>
      <c r="P28" s="21">
        <v>7.0</v>
      </c>
      <c r="T28" s="65" t="s">
        <v>100</v>
      </c>
      <c r="U28" s="66">
        <v>2.0</v>
      </c>
    </row>
    <row r="29">
      <c r="A29" s="62" t="s">
        <v>56</v>
      </c>
      <c r="B29" s="60">
        <v>22.0</v>
      </c>
      <c r="C29" s="60">
        <v>9.0</v>
      </c>
      <c r="D29" s="60">
        <v>1.0</v>
      </c>
      <c r="E29" s="60">
        <v>0.0</v>
      </c>
      <c r="F29" s="60">
        <v>0.0</v>
      </c>
      <c r="G29" s="71">
        <v>6.0</v>
      </c>
      <c r="H29" s="73">
        <f t="shared" si="3"/>
        <v>28.3</v>
      </c>
      <c r="K29" s="21" t="s">
        <v>101</v>
      </c>
      <c r="L29" s="59">
        <v>34.17</v>
      </c>
      <c r="M29" s="59">
        <v>35.150000000000006</v>
      </c>
      <c r="N29" s="59">
        <v>42.2</v>
      </c>
      <c r="O29" s="21">
        <v>21.6</v>
      </c>
      <c r="P29" s="21">
        <v>10.0</v>
      </c>
      <c r="T29" s="65" t="s">
        <v>102</v>
      </c>
      <c r="U29" s="66">
        <v>2.0</v>
      </c>
    </row>
    <row r="30">
      <c r="A30" s="62" t="s">
        <v>56</v>
      </c>
      <c r="B30" s="60">
        <v>11.0</v>
      </c>
      <c r="C30" s="60">
        <v>14.0</v>
      </c>
      <c r="D30" s="60">
        <v>9.0</v>
      </c>
      <c r="E30" s="60">
        <v>1.0</v>
      </c>
      <c r="F30" s="60">
        <v>0.0</v>
      </c>
      <c r="G30" s="71">
        <v>2.0</v>
      </c>
      <c r="H30" s="73">
        <f t="shared" si="3"/>
        <v>41.3</v>
      </c>
      <c r="K30" s="21" t="s">
        <v>103</v>
      </c>
      <c r="L30" s="59">
        <v>34.06</v>
      </c>
      <c r="M30" s="59">
        <v>31.200000000000003</v>
      </c>
      <c r="N30" s="59">
        <v>48.6</v>
      </c>
      <c r="O30" s="21">
        <v>25.2</v>
      </c>
      <c r="P30" s="21">
        <v>5.0</v>
      </c>
      <c r="T30" s="65" t="s">
        <v>98</v>
      </c>
      <c r="U30" s="66">
        <v>2.0</v>
      </c>
    </row>
    <row r="31">
      <c r="A31" s="67" t="s">
        <v>104</v>
      </c>
      <c r="B31" s="77">
        <v>10.0</v>
      </c>
      <c r="C31" s="77">
        <v>8.0</v>
      </c>
      <c r="D31" s="77">
        <v>3.0</v>
      </c>
      <c r="E31" s="77">
        <v>1.0</v>
      </c>
      <c r="F31" s="77">
        <v>1.0</v>
      </c>
      <c r="G31" s="78">
        <v>3.0</v>
      </c>
      <c r="H31" s="73">
        <f t="shared" si="3"/>
        <v>25.1</v>
      </c>
      <c r="K31" s="21" t="s">
        <v>77</v>
      </c>
      <c r="L31" s="59">
        <v>33.449999999999996</v>
      </c>
      <c r="M31" s="59">
        <v>30.799999999999997</v>
      </c>
      <c r="N31" s="59">
        <v>49.7</v>
      </c>
      <c r="O31" s="21">
        <v>16.7</v>
      </c>
      <c r="P31" s="21">
        <v>6.0</v>
      </c>
      <c r="T31" s="65" t="s">
        <v>105</v>
      </c>
      <c r="U31" s="66">
        <v>2.0</v>
      </c>
    </row>
    <row r="32">
      <c r="A32" s="62" t="s">
        <v>94</v>
      </c>
      <c r="B32" s="60">
        <v>26.0</v>
      </c>
      <c r="C32" s="60">
        <v>5.0</v>
      </c>
      <c r="D32" s="60">
        <v>5.0</v>
      </c>
      <c r="E32" s="60">
        <v>2.0</v>
      </c>
      <c r="F32" s="60">
        <v>1.0</v>
      </c>
      <c r="G32" s="71">
        <v>2.0</v>
      </c>
      <c r="H32" s="72">
        <f t="shared" si="3"/>
        <v>43.5</v>
      </c>
      <c r="K32" s="21" t="s">
        <v>89</v>
      </c>
      <c r="L32" s="59">
        <v>33.063636363636355</v>
      </c>
      <c r="M32" s="59">
        <v>34.7</v>
      </c>
      <c r="N32" s="59">
        <v>40.2</v>
      </c>
      <c r="O32" s="21">
        <v>23.299999999999997</v>
      </c>
      <c r="P32" s="21">
        <v>11.0</v>
      </c>
      <c r="T32" s="65" t="s">
        <v>106</v>
      </c>
      <c r="U32" s="66">
        <v>2.0</v>
      </c>
    </row>
    <row r="33">
      <c r="A33" s="70" t="s">
        <v>107</v>
      </c>
      <c r="B33" s="68">
        <v>4.0</v>
      </c>
      <c r="C33" s="68">
        <v>2.0</v>
      </c>
      <c r="D33" s="68">
        <v>1.0</v>
      </c>
      <c r="E33" s="68">
        <v>1.0</v>
      </c>
      <c r="F33" s="68">
        <v>1.0</v>
      </c>
      <c r="G33" s="79">
        <v>0.0</v>
      </c>
      <c r="H33" s="73">
        <f t="shared" si="3"/>
        <v>11.9</v>
      </c>
      <c r="K33" s="21" t="s">
        <v>108</v>
      </c>
      <c r="L33" s="59">
        <v>32.21666666666667</v>
      </c>
      <c r="M33" s="59">
        <v>32.05</v>
      </c>
      <c r="N33" s="59">
        <v>37.8</v>
      </c>
      <c r="O33" s="21">
        <v>25.7</v>
      </c>
      <c r="P33" s="21">
        <v>6.0</v>
      </c>
      <c r="T33" s="65" t="s">
        <v>109</v>
      </c>
      <c r="U33" s="66">
        <v>2.0</v>
      </c>
    </row>
    <row r="34">
      <c r="A34" s="62" t="s">
        <v>75</v>
      </c>
      <c r="B34" s="60">
        <v>33.0</v>
      </c>
      <c r="C34" s="60">
        <v>12.0</v>
      </c>
      <c r="D34" s="60">
        <v>3.0</v>
      </c>
      <c r="E34" s="60">
        <v>2.0</v>
      </c>
      <c r="F34" s="60">
        <v>0.0</v>
      </c>
      <c r="G34" s="71">
        <v>5.0</v>
      </c>
      <c r="H34" s="73">
        <f t="shared" si="3"/>
        <v>50.9</v>
      </c>
      <c r="K34" s="21" t="s">
        <v>91</v>
      </c>
      <c r="L34" s="59">
        <v>32.1875</v>
      </c>
      <c r="M34" s="59">
        <v>32.8</v>
      </c>
      <c r="N34" s="59">
        <v>51.6</v>
      </c>
      <c r="O34" s="21">
        <v>16.0</v>
      </c>
      <c r="P34" s="21">
        <v>8.0</v>
      </c>
      <c r="T34" s="65" t="s">
        <v>110</v>
      </c>
      <c r="U34" s="66">
        <v>2.0</v>
      </c>
    </row>
    <row r="35">
      <c r="A35" s="24" t="s">
        <v>75</v>
      </c>
      <c r="B35" s="60">
        <v>25.0</v>
      </c>
      <c r="C35" s="60">
        <v>10.0</v>
      </c>
      <c r="D35" s="60">
        <v>10.0</v>
      </c>
      <c r="E35" s="60">
        <v>0.0</v>
      </c>
      <c r="F35" s="60">
        <v>4.0</v>
      </c>
      <c r="G35" s="71">
        <v>7.0</v>
      </c>
      <c r="H35" s="73">
        <f t="shared" si="3"/>
        <v>53</v>
      </c>
      <c r="K35" s="21" t="s">
        <v>111</v>
      </c>
      <c r="L35" s="59">
        <v>31.7</v>
      </c>
      <c r="M35" s="59">
        <v>30.950000000000003</v>
      </c>
      <c r="N35" s="59">
        <v>45.7</v>
      </c>
      <c r="O35" s="21">
        <v>14.3</v>
      </c>
      <c r="P35" s="21">
        <v>10.0</v>
      </c>
      <c r="T35" s="65" t="s">
        <v>43</v>
      </c>
      <c r="U35" s="66">
        <v>2.0</v>
      </c>
    </row>
    <row r="36">
      <c r="A36" s="24" t="s">
        <v>75</v>
      </c>
      <c r="B36" s="36">
        <v>21.0</v>
      </c>
      <c r="C36" s="36">
        <v>6.0</v>
      </c>
      <c r="D36" s="36">
        <v>12.0</v>
      </c>
      <c r="E36" s="36">
        <v>0.0</v>
      </c>
      <c r="F36" s="36">
        <v>0.0</v>
      </c>
      <c r="G36" s="74">
        <v>6.0</v>
      </c>
      <c r="H36" s="75">
        <v>30.4</v>
      </c>
      <c r="K36" s="21" t="s">
        <v>93</v>
      </c>
      <c r="L36" s="59">
        <v>31.590000000000003</v>
      </c>
      <c r="M36" s="59">
        <v>32.400000000000006</v>
      </c>
      <c r="N36" s="59">
        <v>44.6</v>
      </c>
      <c r="O36" s="21">
        <v>13.2</v>
      </c>
      <c r="P36" s="21">
        <v>10.0</v>
      </c>
      <c r="T36" s="65" t="s">
        <v>112</v>
      </c>
      <c r="U36" s="66">
        <v>2.0</v>
      </c>
    </row>
    <row r="37">
      <c r="A37" s="62" t="s">
        <v>75</v>
      </c>
      <c r="B37" s="60">
        <v>24.0</v>
      </c>
      <c r="C37" s="60">
        <v>7.0</v>
      </c>
      <c r="D37" s="60">
        <v>11.0</v>
      </c>
      <c r="E37" s="60">
        <v>4.0</v>
      </c>
      <c r="F37" s="60">
        <v>2.0</v>
      </c>
      <c r="G37" s="71">
        <v>6.0</v>
      </c>
      <c r="H37" s="73">
        <f t="shared" ref="H37:H80" si="4">sum(B37+1.2*C37+1.5*D37+2*E37+2*F37)-G37</f>
        <v>54.9</v>
      </c>
      <c r="K37" s="21" t="s">
        <v>100</v>
      </c>
      <c r="L37" s="59">
        <v>30.854545454545452</v>
      </c>
      <c r="M37" s="59">
        <v>32.3</v>
      </c>
      <c r="N37" s="59">
        <v>43.9</v>
      </c>
      <c r="O37" s="21">
        <v>17.9</v>
      </c>
      <c r="P37" s="21">
        <v>11.0</v>
      </c>
      <c r="T37" s="65" t="s">
        <v>113</v>
      </c>
      <c r="U37" s="66">
        <v>2.0</v>
      </c>
    </row>
    <row r="38">
      <c r="A38" s="62" t="s">
        <v>75</v>
      </c>
      <c r="B38" s="60">
        <v>24.0</v>
      </c>
      <c r="C38" s="60">
        <v>8.0</v>
      </c>
      <c r="D38" s="60">
        <v>8.0</v>
      </c>
      <c r="E38" s="60">
        <v>2.0</v>
      </c>
      <c r="F38" s="60">
        <v>1.0</v>
      </c>
      <c r="G38" s="71">
        <v>5.0</v>
      </c>
      <c r="H38" s="73">
        <f t="shared" si="4"/>
        <v>46.6</v>
      </c>
      <c r="K38" s="21" t="s">
        <v>114</v>
      </c>
      <c r="L38" s="59">
        <v>30.21111111111111</v>
      </c>
      <c r="M38" s="59">
        <v>28.9</v>
      </c>
      <c r="N38" s="59">
        <v>45.1</v>
      </c>
      <c r="O38" s="21">
        <v>10.6</v>
      </c>
      <c r="P38" s="21">
        <v>9.0</v>
      </c>
      <c r="T38" s="65" t="s">
        <v>75</v>
      </c>
      <c r="U38" s="66">
        <v>2.0</v>
      </c>
    </row>
    <row r="39">
      <c r="A39" s="67" t="s">
        <v>101</v>
      </c>
      <c r="B39" s="60">
        <v>19.0</v>
      </c>
      <c r="C39" s="60">
        <v>10.0</v>
      </c>
      <c r="D39" s="60">
        <v>2.0</v>
      </c>
      <c r="E39" s="60">
        <v>1.0</v>
      </c>
      <c r="F39" s="60">
        <v>2.0</v>
      </c>
      <c r="G39" s="71">
        <v>0.0</v>
      </c>
      <c r="H39" s="73">
        <f t="shared" si="4"/>
        <v>40</v>
      </c>
      <c r="K39" s="21" t="s">
        <v>106</v>
      </c>
      <c r="L39" s="59">
        <v>29.466666666666665</v>
      </c>
      <c r="M39" s="59">
        <v>33.2</v>
      </c>
      <c r="N39" s="59">
        <v>34.4</v>
      </c>
      <c r="O39" s="21">
        <v>20.8</v>
      </c>
      <c r="P39" s="21">
        <v>3.0</v>
      </c>
      <c r="T39" s="65" t="s">
        <v>107</v>
      </c>
      <c r="U39" s="66">
        <v>2.0</v>
      </c>
    </row>
    <row r="40">
      <c r="A40" s="24" t="s">
        <v>101</v>
      </c>
      <c r="B40" s="60">
        <v>11.0</v>
      </c>
      <c r="C40" s="60">
        <v>2.0</v>
      </c>
      <c r="D40" s="60">
        <v>1.0</v>
      </c>
      <c r="E40" s="60">
        <v>2.0</v>
      </c>
      <c r="F40" s="60">
        <v>4.0</v>
      </c>
      <c r="G40" s="71">
        <v>1.0</v>
      </c>
      <c r="H40" s="72">
        <f t="shared" si="4"/>
        <v>25.9</v>
      </c>
      <c r="K40" s="21" t="s">
        <v>58</v>
      </c>
      <c r="L40" s="59">
        <v>29.24</v>
      </c>
      <c r="M40" s="59">
        <v>26.7</v>
      </c>
      <c r="N40" s="59">
        <v>41.2</v>
      </c>
      <c r="O40" s="21">
        <v>18.5</v>
      </c>
      <c r="P40" s="21">
        <v>10.0</v>
      </c>
      <c r="T40" s="65" t="s">
        <v>56</v>
      </c>
      <c r="U40" s="66">
        <v>2.0</v>
      </c>
    </row>
    <row r="41">
      <c r="A41" s="67" t="s">
        <v>101</v>
      </c>
      <c r="B41" s="60">
        <v>20.0</v>
      </c>
      <c r="C41" s="60">
        <v>11.0</v>
      </c>
      <c r="D41" s="60">
        <v>0.0</v>
      </c>
      <c r="E41" s="60">
        <v>0.0</v>
      </c>
      <c r="F41" s="60">
        <v>5.0</v>
      </c>
      <c r="G41" s="71">
        <v>1.0</v>
      </c>
      <c r="H41" s="72">
        <f t="shared" si="4"/>
        <v>42.2</v>
      </c>
      <c r="K41" s="21" t="s">
        <v>115</v>
      </c>
      <c r="L41" s="59">
        <v>28.900000000000002</v>
      </c>
      <c r="M41" s="59">
        <v>27.6</v>
      </c>
      <c r="N41" s="59">
        <v>35.4</v>
      </c>
      <c r="O41" s="21">
        <v>23.7</v>
      </c>
      <c r="P41" s="21">
        <v>3.0</v>
      </c>
      <c r="T41" s="65" t="s">
        <v>86</v>
      </c>
      <c r="U41" s="66">
        <v>2.0</v>
      </c>
    </row>
    <row r="42">
      <c r="A42" s="62" t="s">
        <v>101</v>
      </c>
      <c r="B42" s="60">
        <v>24.0</v>
      </c>
      <c r="C42" s="60">
        <v>8.0</v>
      </c>
      <c r="D42" s="60">
        <v>0.0</v>
      </c>
      <c r="E42" s="60">
        <v>0.0</v>
      </c>
      <c r="F42" s="60">
        <v>0.0</v>
      </c>
      <c r="G42" s="71">
        <v>1.0</v>
      </c>
      <c r="H42" s="73">
        <f t="shared" si="4"/>
        <v>32.6</v>
      </c>
      <c r="K42" s="21" t="s">
        <v>116</v>
      </c>
      <c r="L42" s="59">
        <v>28.8</v>
      </c>
      <c r="M42" s="59">
        <v>28.8</v>
      </c>
      <c r="N42" s="59">
        <v>28.8</v>
      </c>
      <c r="O42" s="21">
        <v>28.8</v>
      </c>
      <c r="P42" s="21">
        <v>1.0</v>
      </c>
      <c r="T42" s="65" t="s">
        <v>58</v>
      </c>
      <c r="U42" s="66">
        <v>2.0</v>
      </c>
    </row>
    <row r="43">
      <c r="A43" s="24" t="s">
        <v>113</v>
      </c>
      <c r="B43" s="60">
        <v>11.0</v>
      </c>
      <c r="C43" s="60">
        <v>12.0</v>
      </c>
      <c r="D43" s="60">
        <v>3.0</v>
      </c>
      <c r="E43" s="60">
        <v>2.0</v>
      </c>
      <c r="F43" s="60">
        <v>0.0</v>
      </c>
      <c r="G43" s="71">
        <v>0.0</v>
      </c>
      <c r="H43" s="73">
        <f t="shared" si="4"/>
        <v>33.9</v>
      </c>
      <c r="K43" s="21" t="s">
        <v>81</v>
      </c>
      <c r="L43" s="59">
        <v>27.985714285714284</v>
      </c>
      <c r="M43" s="59">
        <v>27.2</v>
      </c>
      <c r="N43" s="59">
        <v>59.8</v>
      </c>
      <c r="O43" s="21">
        <v>12.799999999999999</v>
      </c>
      <c r="P43" s="21">
        <v>7.0</v>
      </c>
      <c r="T43" s="65" t="s">
        <v>117</v>
      </c>
      <c r="U43" s="66">
        <v>1.0</v>
      </c>
    </row>
    <row r="44">
      <c r="A44" s="62" t="s">
        <v>112</v>
      </c>
      <c r="B44" s="60">
        <v>14.0</v>
      </c>
      <c r="C44" s="60">
        <v>3.0</v>
      </c>
      <c r="D44" s="60">
        <v>7.0</v>
      </c>
      <c r="E44" s="60">
        <v>0.0</v>
      </c>
      <c r="F44" s="60">
        <v>0.0</v>
      </c>
      <c r="G44" s="71">
        <v>2.0</v>
      </c>
      <c r="H44" s="73">
        <f t="shared" si="4"/>
        <v>26.1</v>
      </c>
      <c r="K44" s="21" t="s">
        <v>83</v>
      </c>
      <c r="L44" s="59">
        <v>27.38333333333333</v>
      </c>
      <c r="M44" s="59">
        <v>28.15</v>
      </c>
      <c r="N44" s="59">
        <v>36.9</v>
      </c>
      <c r="O44" s="21">
        <v>16.7</v>
      </c>
      <c r="P44" s="21">
        <v>6.0</v>
      </c>
      <c r="T44" s="65" t="s">
        <v>118</v>
      </c>
      <c r="U44" s="66">
        <v>1.0</v>
      </c>
    </row>
    <row r="45">
      <c r="A45" s="24" t="s">
        <v>112</v>
      </c>
      <c r="B45" s="60">
        <v>0.0</v>
      </c>
      <c r="C45" s="60">
        <v>2.0</v>
      </c>
      <c r="D45" s="60">
        <v>2.0</v>
      </c>
      <c r="E45" s="60">
        <v>0.0</v>
      </c>
      <c r="F45" s="60">
        <v>0.0</v>
      </c>
      <c r="G45" s="71">
        <v>0.0</v>
      </c>
      <c r="H45" s="73">
        <f t="shared" si="4"/>
        <v>5.4</v>
      </c>
      <c r="K45" s="21" t="s">
        <v>105</v>
      </c>
      <c r="L45" s="59">
        <v>26.85714285714286</v>
      </c>
      <c r="M45" s="59">
        <v>22.5</v>
      </c>
      <c r="N45" s="59">
        <v>43.4</v>
      </c>
      <c r="O45" s="21">
        <v>5.9</v>
      </c>
      <c r="P45" s="21">
        <v>7.0</v>
      </c>
      <c r="T45" s="65" t="s">
        <v>119</v>
      </c>
      <c r="U45" s="66">
        <v>1.0</v>
      </c>
    </row>
    <row r="46">
      <c r="A46" s="24" t="s">
        <v>112</v>
      </c>
      <c r="B46" s="77">
        <v>7.0</v>
      </c>
      <c r="C46" s="77">
        <v>3.0</v>
      </c>
      <c r="D46" s="77">
        <v>5.0</v>
      </c>
      <c r="E46" s="77">
        <v>2.0</v>
      </c>
      <c r="F46" s="77">
        <v>2.0</v>
      </c>
      <c r="G46" s="78">
        <v>1.0</v>
      </c>
      <c r="H46" s="73">
        <f t="shared" si="4"/>
        <v>25.1</v>
      </c>
      <c r="K46" s="21" t="s">
        <v>120</v>
      </c>
      <c r="L46" s="59">
        <v>26.840000000000003</v>
      </c>
      <c r="M46" s="59">
        <v>22.2</v>
      </c>
      <c r="N46" s="59">
        <v>37.3</v>
      </c>
      <c r="O46" s="21">
        <v>18.2</v>
      </c>
      <c r="P46" s="21">
        <v>5.0</v>
      </c>
      <c r="T46" s="65" t="s">
        <v>111</v>
      </c>
      <c r="U46" s="66">
        <v>1.0</v>
      </c>
    </row>
    <row r="47">
      <c r="A47" s="62" t="s">
        <v>44</v>
      </c>
      <c r="B47" s="60">
        <v>21.0</v>
      </c>
      <c r="C47" s="60">
        <v>2.0</v>
      </c>
      <c r="D47" s="60">
        <v>9.0</v>
      </c>
      <c r="E47" s="60">
        <v>0.0</v>
      </c>
      <c r="F47" s="60">
        <v>0.0</v>
      </c>
      <c r="G47" s="71">
        <v>1.0</v>
      </c>
      <c r="H47" s="73">
        <f t="shared" si="4"/>
        <v>35.9</v>
      </c>
      <c r="K47" s="21" t="s">
        <v>121</v>
      </c>
      <c r="L47" s="59">
        <v>26.828571428571426</v>
      </c>
      <c r="M47" s="59">
        <v>29.4</v>
      </c>
      <c r="N47" s="59">
        <v>35.1</v>
      </c>
      <c r="O47" s="21">
        <v>14.2</v>
      </c>
      <c r="P47" s="21">
        <v>7.0</v>
      </c>
      <c r="T47" s="65" t="s">
        <v>122</v>
      </c>
      <c r="U47" s="66">
        <v>1.0</v>
      </c>
    </row>
    <row r="48">
      <c r="A48" s="62" t="s">
        <v>44</v>
      </c>
      <c r="B48" s="60">
        <v>27.0</v>
      </c>
      <c r="C48" s="60">
        <v>3.0</v>
      </c>
      <c r="D48" s="60">
        <v>5.0</v>
      </c>
      <c r="E48" s="60">
        <v>1.0</v>
      </c>
      <c r="F48" s="60">
        <v>0.0</v>
      </c>
      <c r="G48" s="71">
        <v>2.0</v>
      </c>
      <c r="H48" s="73">
        <f t="shared" si="4"/>
        <v>38.1</v>
      </c>
      <c r="K48" s="21" t="s">
        <v>44</v>
      </c>
      <c r="L48" s="59">
        <v>26.240000000000002</v>
      </c>
      <c r="M48" s="59">
        <v>30.200000000000003</v>
      </c>
      <c r="N48" s="59">
        <v>38.1</v>
      </c>
      <c r="O48" s="21">
        <v>11.7</v>
      </c>
      <c r="P48" s="21">
        <v>5.0</v>
      </c>
      <c r="T48" s="65" t="s">
        <v>66</v>
      </c>
      <c r="U48" s="66">
        <v>1.0</v>
      </c>
    </row>
    <row r="49">
      <c r="A49" s="24" t="s">
        <v>123</v>
      </c>
      <c r="B49" s="60">
        <v>8.0</v>
      </c>
      <c r="C49" s="60">
        <v>0.0</v>
      </c>
      <c r="D49" s="60">
        <v>5.0</v>
      </c>
      <c r="E49" s="60">
        <v>0.0</v>
      </c>
      <c r="F49" s="60">
        <v>0.0</v>
      </c>
      <c r="G49" s="71">
        <v>3.0</v>
      </c>
      <c r="H49" s="73">
        <f t="shared" si="4"/>
        <v>12.5</v>
      </c>
      <c r="K49" s="21" t="s">
        <v>113</v>
      </c>
      <c r="L49" s="59">
        <v>26.171428571428574</v>
      </c>
      <c r="M49" s="59">
        <v>31.799999999999997</v>
      </c>
      <c r="N49" s="59">
        <v>35.0</v>
      </c>
      <c r="O49" s="21">
        <v>5.4</v>
      </c>
      <c r="P49" s="21">
        <v>7.0</v>
      </c>
      <c r="T49" s="65" t="s">
        <v>114</v>
      </c>
      <c r="U49" s="66">
        <v>1.0</v>
      </c>
    </row>
    <row r="50">
      <c r="A50" s="62" t="s">
        <v>93</v>
      </c>
      <c r="B50" s="60">
        <v>5.0</v>
      </c>
      <c r="C50" s="60">
        <v>4.0</v>
      </c>
      <c r="D50" s="60">
        <v>5.0</v>
      </c>
      <c r="E50" s="60">
        <v>1.0</v>
      </c>
      <c r="F50" s="60">
        <v>0.0</v>
      </c>
      <c r="G50" s="71">
        <v>1.0</v>
      </c>
      <c r="H50" s="73">
        <f t="shared" si="4"/>
        <v>18.3</v>
      </c>
      <c r="K50" s="21" t="s">
        <v>82</v>
      </c>
      <c r="L50" s="59">
        <v>25.9</v>
      </c>
      <c r="M50" s="59">
        <v>23.8</v>
      </c>
      <c r="N50" s="59">
        <v>41.8</v>
      </c>
      <c r="O50" s="21">
        <v>4.9</v>
      </c>
      <c r="P50" s="21">
        <v>8.0</v>
      </c>
      <c r="T50" s="65" t="s">
        <v>71</v>
      </c>
      <c r="U50" s="66">
        <v>1.0</v>
      </c>
    </row>
    <row r="51">
      <c r="A51" s="24" t="s">
        <v>93</v>
      </c>
      <c r="B51" s="77">
        <v>16.0</v>
      </c>
      <c r="C51" s="77">
        <v>3.0</v>
      </c>
      <c r="D51" s="77">
        <v>5.0</v>
      </c>
      <c r="E51" s="77">
        <v>2.0</v>
      </c>
      <c r="F51" s="77">
        <v>1.0</v>
      </c>
      <c r="G51" s="78">
        <v>0.0</v>
      </c>
      <c r="H51" s="73">
        <f t="shared" si="4"/>
        <v>33.1</v>
      </c>
      <c r="K51" s="21" t="s">
        <v>43</v>
      </c>
      <c r="L51" s="59">
        <v>25.46666666666667</v>
      </c>
      <c r="M51" s="59">
        <v>26.6</v>
      </c>
      <c r="N51" s="59">
        <v>42.4</v>
      </c>
      <c r="O51" s="21">
        <v>7.4</v>
      </c>
      <c r="P51" s="21">
        <v>3.0</v>
      </c>
      <c r="T51" s="65" t="s">
        <v>50</v>
      </c>
      <c r="U51" s="66">
        <v>1.0</v>
      </c>
    </row>
    <row r="52">
      <c r="A52" s="24" t="s">
        <v>93</v>
      </c>
      <c r="B52" s="60">
        <v>18.0</v>
      </c>
      <c r="C52" s="60">
        <v>7.0</v>
      </c>
      <c r="D52" s="60">
        <v>7.0</v>
      </c>
      <c r="E52" s="60">
        <v>0.0</v>
      </c>
      <c r="F52" s="60">
        <v>1.0</v>
      </c>
      <c r="G52" s="71">
        <v>1.0</v>
      </c>
      <c r="H52" s="73">
        <f t="shared" si="4"/>
        <v>37.9</v>
      </c>
      <c r="K52" s="21" t="s">
        <v>104</v>
      </c>
      <c r="L52" s="59">
        <v>25.1</v>
      </c>
      <c r="M52" s="59">
        <v>25.1</v>
      </c>
      <c r="N52" s="59">
        <v>25.1</v>
      </c>
      <c r="O52" s="21">
        <v>25.1</v>
      </c>
      <c r="P52" s="21">
        <v>1.0</v>
      </c>
      <c r="T52" s="65" t="s">
        <v>90</v>
      </c>
      <c r="U52" s="66">
        <v>1.0</v>
      </c>
    </row>
    <row r="53">
      <c r="A53" s="24" t="s">
        <v>93</v>
      </c>
      <c r="B53" s="60">
        <v>17.0</v>
      </c>
      <c r="C53" s="60">
        <v>6.0</v>
      </c>
      <c r="D53" s="60">
        <v>5.0</v>
      </c>
      <c r="E53" s="60">
        <v>1.0</v>
      </c>
      <c r="F53" s="60">
        <v>0.0</v>
      </c>
      <c r="G53" s="71">
        <v>2.0</v>
      </c>
      <c r="H53" s="73">
        <f t="shared" si="4"/>
        <v>31.7</v>
      </c>
      <c r="K53" s="21" t="s">
        <v>47</v>
      </c>
      <c r="L53" s="59">
        <v>24.825000000000003</v>
      </c>
      <c r="M53" s="59">
        <v>23.950000000000003</v>
      </c>
      <c r="N53" s="59">
        <v>45.7</v>
      </c>
      <c r="O53" s="21">
        <v>5.7</v>
      </c>
      <c r="P53" s="21">
        <v>4.0</v>
      </c>
      <c r="T53" s="65" t="s">
        <v>108</v>
      </c>
      <c r="U53" s="66">
        <v>1.0</v>
      </c>
    </row>
    <row r="54">
      <c r="A54" s="62" t="s">
        <v>124</v>
      </c>
      <c r="B54" s="60">
        <v>6.0</v>
      </c>
      <c r="C54" s="60">
        <v>2.0</v>
      </c>
      <c r="D54" s="60">
        <v>0.0</v>
      </c>
      <c r="E54" s="60">
        <v>0.0</v>
      </c>
      <c r="F54" s="60">
        <v>0.0</v>
      </c>
      <c r="G54" s="71">
        <v>1.0</v>
      </c>
      <c r="H54" s="73">
        <f t="shared" si="4"/>
        <v>7.4</v>
      </c>
      <c r="K54" s="21" t="s">
        <v>96</v>
      </c>
      <c r="L54" s="59">
        <v>24.5</v>
      </c>
      <c r="M54" s="59">
        <v>25.3</v>
      </c>
      <c r="N54" s="59">
        <v>32.4</v>
      </c>
      <c r="O54" s="21">
        <v>15.0</v>
      </c>
      <c r="P54" s="21">
        <v>4.0</v>
      </c>
      <c r="T54" s="65" t="s">
        <v>99</v>
      </c>
      <c r="U54" s="66">
        <v>1.0</v>
      </c>
    </row>
    <row r="55">
      <c r="A55" s="24" t="s">
        <v>43</v>
      </c>
      <c r="B55" s="60">
        <v>19.0</v>
      </c>
      <c r="C55" s="60">
        <v>12.0</v>
      </c>
      <c r="D55" s="60">
        <v>4.0</v>
      </c>
      <c r="E55" s="60">
        <v>1.0</v>
      </c>
      <c r="F55" s="60">
        <v>1.0</v>
      </c>
      <c r="G55" s="71">
        <v>1.0</v>
      </c>
      <c r="H55" s="73">
        <f t="shared" si="4"/>
        <v>42.4</v>
      </c>
      <c r="K55" s="21" t="s">
        <v>94</v>
      </c>
      <c r="L55" s="59">
        <v>24.424999999999997</v>
      </c>
      <c r="M55" s="59">
        <v>20.35</v>
      </c>
      <c r="N55" s="59">
        <v>43.5</v>
      </c>
      <c r="O55" s="21">
        <v>14.399999999999999</v>
      </c>
      <c r="P55" s="21">
        <v>8.0</v>
      </c>
      <c r="T55" s="65" t="s">
        <v>121</v>
      </c>
      <c r="U55" s="66">
        <v>1.0</v>
      </c>
    </row>
    <row r="56">
      <c r="A56" s="67" t="s">
        <v>43</v>
      </c>
      <c r="B56" s="60">
        <v>10.0</v>
      </c>
      <c r="C56" s="60">
        <v>8.0</v>
      </c>
      <c r="D56" s="60">
        <v>4.0</v>
      </c>
      <c r="E56" s="60">
        <v>2.0</v>
      </c>
      <c r="F56" s="60">
        <v>1.0</v>
      </c>
      <c r="G56" s="71">
        <v>5.0</v>
      </c>
      <c r="H56" s="73">
        <f t="shared" si="4"/>
        <v>26.6</v>
      </c>
      <c r="K56" s="21" t="s">
        <v>95</v>
      </c>
      <c r="L56" s="59">
        <v>24.35</v>
      </c>
      <c r="M56" s="59">
        <v>24.35</v>
      </c>
      <c r="N56" s="59">
        <v>35.7</v>
      </c>
      <c r="O56" s="21">
        <v>13.0</v>
      </c>
      <c r="P56" s="21">
        <v>2.0</v>
      </c>
      <c r="T56" s="65" t="s">
        <v>125</v>
      </c>
      <c r="U56" s="66">
        <v>1.0</v>
      </c>
    </row>
    <row r="57">
      <c r="A57" s="62" t="s">
        <v>43</v>
      </c>
      <c r="B57" s="60">
        <v>9.0</v>
      </c>
      <c r="C57" s="60">
        <v>2.0</v>
      </c>
      <c r="D57" s="60">
        <v>0.0</v>
      </c>
      <c r="E57" s="60">
        <v>0.0</v>
      </c>
      <c r="F57" s="60">
        <v>0.0</v>
      </c>
      <c r="G57" s="71">
        <v>4.0</v>
      </c>
      <c r="H57" s="73">
        <f t="shared" si="4"/>
        <v>7.4</v>
      </c>
      <c r="K57" s="21" t="s">
        <v>109</v>
      </c>
      <c r="L57" s="59">
        <v>24.316666666666666</v>
      </c>
      <c r="M57" s="59">
        <v>21.05</v>
      </c>
      <c r="N57" s="59">
        <v>55.8</v>
      </c>
      <c r="O57" s="21">
        <v>8.1</v>
      </c>
      <c r="P57" s="21">
        <v>6.0</v>
      </c>
      <c r="T57" s="65" t="s">
        <v>103</v>
      </c>
      <c r="U57" s="66">
        <v>1.0</v>
      </c>
    </row>
    <row r="58">
      <c r="A58" s="62" t="s">
        <v>46</v>
      </c>
      <c r="B58" s="60">
        <v>11.0</v>
      </c>
      <c r="C58" s="60">
        <v>6.0</v>
      </c>
      <c r="D58" s="60">
        <v>0.0</v>
      </c>
      <c r="E58" s="60">
        <v>1.0</v>
      </c>
      <c r="F58" s="60">
        <v>0.0</v>
      </c>
      <c r="G58" s="71">
        <v>0.0</v>
      </c>
      <c r="H58" s="73">
        <f t="shared" si="4"/>
        <v>20.2</v>
      </c>
      <c r="K58" s="21" t="s">
        <v>126</v>
      </c>
      <c r="L58" s="59">
        <v>23.4125</v>
      </c>
      <c r="M58" s="59">
        <v>24.299999999999997</v>
      </c>
      <c r="N58" s="59">
        <v>36.6</v>
      </c>
      <c r="O58" s="21">
        <v>9.4</v>
      </c>
      <c r="P58" s="21">
        <v>8.0</v>
      </c>
      <c r="T58" s="65" t="s">
        <v>54</v>
      </c>
      <c r="U58" s="66">
        <v>1.0</v>
      </c>
    </row>
    <row r="59">
      <c r="A59" s="36" t="s">
        <v>46</v>
      </c>
      <c r="B59" s="60">
        <v>24.0</v>
      </c>
      <c r="C59" s="60">
        <v>1.0</v>
      </c>
      <c r="D59" s="60">
        <v>2.0</v>
      </c>
      <c r="E59" s="60">
        <v>0.0</v>
      </c>
      <c r="F59" s="60">
        <v>0.0</v>
      </c>
      <c r="G59" s="71">
        <v>1.0</v>
      </c>
      <c r="H59" s="73">
        <f t="shared" si="4"/>
        <v>27.2</v>
      </c>
      <c r="K59" s="21" t="s">
        <v>122</v>
      </c>
      <c r="L59" s="59">
        <v>22.75</v>
      </c>
      <c r="M59" s="59">
        <v>22.75</v>
      </c>
      <c r="N59" s="59">
        <v>32.1</v>
      </c>
      <c r="O59" s="21">
        <v>13.399999999999999</v>
      </c>
      <c r="P59" s="21">
        <v>2.0</v>
      </c>
      <c r="T59" s="65" t="s">
        <v>126</v>
      </c>
      <c r="U59" s="66">
        <v>1.0</v>
      </c>
    </row>
    <row r="60">
      <c r="A60" s="24" t="s">
        <v>87</v>
      </c>
      <c r="B60" s="60">
        <v>30.0</v>
      </c>
      <c r="C60" s="60">
        <v>6.0</v>
      </c>
      <c r="D60" s="60">
        <v>6.0</v>
      </c>
      <c r="E60" s="60">
        <v>1.0</v>
      </c>
      <c r="F60" s="60">
        <v>0.0</v>
      </c>
      <c r="G60" s="71">
        <v>1.0</v>
      </c>
      <c r="H60" s="72">
        <f t="shared" si="4"/>
        <v>47.2</v>
      </c>
      <c r="K60" s="21" t="s">
        <v>110</v>
      </c>
      <c r="L60" s="59">
        <v>22.55</v>
      </c>
      <c r="M60" s="59">
        <v>23.55</v>
      </c>
      <c r="N60" s="59">
        <v>31.6</v>
      </c>
      <c r="O60" s="21">
        <v>13.6</v>
      </c>
      <c r="P60" s="21">
        <v>6.0</v>
      </c>
      <c r="T60" s="65" t="s">
        <v>127</v>
      </c>
      <c r="U60" s="66">
        <v>1.0</v>
      </c>
    </row>
    <row r="61">
      <c r="A61" s="62" t="s">
        <v>87</v>
      </c>
      <c r="B61" s="60">
        <v>22.0</v>
      </c>
      <c r="C61" s="60">
        <v>0.0</v>
      </c>
      <c r="D61" s="60">
        <v>5.0</v>
      </c>
      <c r="E61" s="60">
        <v>1.0</v>
      </c>
      <c r="F61" s="60">
        <v>0.0</v>
      </c>
      <c r="G61" s="71">
        <v>2.0</v>
      </c>
      <c r="H61" s="73">
        <f t="shared" si="4"/>
        <v>29.5</v>
      </c>
      <c r="K61" s="21" t="s">
        <v>128</v>
      </c>
      <c r="L61" s="59">
        <v>22.433333333333334</v>
      </c>
      <c r="M61" s="59">
        <v>21.0</v>
      </c>
      <c r="N61" s="59">
        <v>33.1</v>
      </c>
      <c r="O61" s="21">
        <v>13.2</v>
      </c>
      <c r="P61" s="21">
        <v>3.0</v>
      </c>
      <c r="T61" s="65" t="s">
        <v>46</v>
      </c>
      <c r="U61" s="66">
        <v>1.0</v>
      </c>
    </row>
    <row r="62">
      <c r="A62" s="24" t="s">
        <v>87</v>
      </c>
      <c r="B62" s="60">
        <v>13.0</v>
      </c>
      <c r="C62" s="60">
        <v>3.0</v>
      </c>
      <c r="D62" s="60">
        <v>1.0</v>
      </c>
      <c r="E62" s="60">
        <v>0.0</v>
      </c>
      <c r="F62" s="60">
        <v>0.0</v>
      </c>
      <c r="G62" s="71">
        <v>1.0</v>
      </c>
      <c r="H62" s="72">
        <f t="shared" si="4"/>
        <v>17.1</v>
      </c>
      <c r="K62" s="21" t="s">
        <v>45</v>
      </c>
      <c r="L62" s="59">
        <v>22.34</v>
      </c>
      <c r="M62" s="59">
        <v>23.2</v>
      </c>
      <c r="N62" s="59">
        <v>40.0</v>
      </c>
      <c r="O62" s="21">
        <v>5.3</v>
      </c>
      <c r="P62" s="21">
        <v>5.0</v>
      </c>
      <c r="T62" s="65" t="s">
        <v>44</v>
      </c>
      <c r="U62" s="66">
        <v>1.0</v>
      </c>
    </row>
    <row r="63">
      <c r="A63" s="62" t="s">
        <v>87</v>
      </c>
      <c r="B63" s="60">
        <v>30.0</v>
      </c>
      <c r="C63" s="60">
        <v>5.0</v>
      </c>
      <c r="D63" s="60">
        <v>4.0</v>
      </c>
      <c r="E63" s="60">
        <v>4.0</v>
      </c>
      <c r="F63" s="60">
        <v>0.0</v>
      </c>
      <c r="G63" s="71">
        <v>2.0</v>
      </c>
      <c r="H63" s="73">
        <f t="shared" si="4"/>
        <v>48</v>
      </c>
      <c r="K63" s="21" t="s">
        <v>102</v>
      </c>
      <c r="L63" s="59">
        <v>22.32</v>
      </c>
      <c r="M63" s="59">
        <v>22.7</v>
      </c>
      <c r="N63" s="59">
        <v>36.6</v>
      </c>
      <c r="O63" s="21">
        <v>11.4</v>
      </c>
      <c r="P63" s="21">
        <v>5.0</v>
      </c>
      <c r="T63" s="65" t="s">
        <v>96</v>
      </c>
      <c r="U63" s="66">
        <v>1.0</v>
      </c>
    </row>
    <row r="64">
      <c r="A64" s="76" t="s">
        <v>127</v>
      </c>
      <c r="B64" s="60">
        <v>9.0</v>
      </c>
      <c r="C64" s="60">
        <v>4.0</v>
      </c>
      <c r="D64" s="60">
        <v>5.0</v>
      </c>
      <c r="E64" s="60">
        <v>2.0</v>
      </c>
      <c r="F64" s="60">
        <v>0.0</v>
      </c>
      <c r="G64" s="71">
        <v>3.0</v>
      </c>
      <c r="H64" s="72">
        <f t="shared" si="4"/>
        <v>22.3</v>
      </c>
      <c r="K64" s="21" t="s">
        <v>97</v>
      </c>
      <c r="L64" s="59">
        <v>21.974999999999994</v>
      </c>
      <c r="M64" s="59">
        <v>20.35</v>
      </c>
      <c r="N64" s="59">
        <v>37.5</v>
      </c>
      <c r="O64" s="21">
        <v>9.6</v>
      </c>
      <c r="P64" s="21">
        <v>8.0</v>
      </c>
      <c r="T64" s="65" t="s">
        <v>95</v>
      </c>
      <c r="U64" s="66">
        <v>1.0</v>
      </c>
    </row>
    <row r="65">
      <c r="A65" s="62" t="s">
        <v>126</v>
      </c>
      <c r="B65" s="60">
        <v>6.0</v>
      </c>
      <c r="C65" s="60">
        <v>8.0</v>
      </c>
      <c r="D65" s="60">
        <v>2.0</v>
      </c>
      <c r="E65" s="60">
        <v>0.0</v>
      </c>
      <c r="F65" s="60">
        <v>0.0</v>
      </c>
      <c r="G65" s="71">
        <v>1.0</v>
      </c>
      <c r="H65" s="73">
        <f t="shared" si="4"/>
        <v>17.6</v>
      </c>
      <c r="K65" s="21" t="s">
        <v>119</v>
      </c>
      <c r="L65" s="59">
        <v>19.75</v>
      </c>
      <c r="M65" s="59">
        <v>19.0</v>
      </c>
      <c r="N65" s="59">
        <v>32.8</v>
      </c>
      <c r="O65" s="21">
        <v>5.199999999999999</v>
      </c>
      <c r="P65" s="21">
        <v>6.0</v>
      </c>
      <c r="T65" s="65" t="s">
        <v>83</v>
      </c>
      <c r="U65" s="66">
        <v>1.0</v>
      </c>
    </row>
    <row r="66">
      <c r="A66" s="76" t="s">
        <v>126</v>
      </c>
      <c r="B66" s="77">
        <v>7.0</v>
      </c>
      <c r="C66" s="77">
        <v>1.0</v>
      </c>
      <c r="D66" s="77">
        <v>1.0</v>
      </c>
      <c r="E66" s="77">
        <v>2.0</v>
      </c>
      <c r="F66" s="77">
        <v>0.0</v>
      </c>
      <c r="G66" s="78">
        <v>2.0</v>
      </c>
      <c r="H66" s="73">
        <f t="shared" si="4"/>
        <v>11.7</v>
      </c>
      <c r="K66" s="21" t="s">
        <v>107</v>
      </c>
      <c r="L66" s="59">
        <v>19.75</v>
      </c>
      <c r="M66" s="59">
        <v>16.8</v>
      </c>
      <c r="N66" s="59">
        <v>40.1</v>
      </c>
      <c r="O66" s="21">
        <v>2.5999999999999996</v>
      </c>
      <c r="P66" s="21">
        <v>6.0</v>
      </c>
      <c r="T66" s="65" t="s">
        <v>120</v>
      </c>
      <c r="U66" s="66">
        <v>1.0</v>
      </c>
    </row>
    <row r="67">
      <c r="A67" s="24" t="s">
        <v>91</v>
      </c>
      <c r="B67" s="60">
        <v>9.0</v>
      </c>
      <c r="C67" s="60">
        <v>7.0</v>
      </c>
      <c r="D67" s="60">
        <v>1.0</v>
      </c>
      <c r="E67" s="60">
        <v>0.0</v>
      </c>
      <c r="F67" s="60">
        <v>0.0</v>
      </c>
      <c r="G67" s="71">
        <v>1.0</v>
      </c>
      <c r="H67" s="72">
        <f t="shared" si="4"/>
        <v>17.9</v>
      </c>
      <c r="K67" s="21" t="s">
        <v>117</v>
      </c>
      <c r="L67" s="59">
        <v>19.640000000000004</v>
      </c>
      <c r="M67" s="59">
        <v>13.0</v>
      </c>
      <c r="N67" s="59">
        <v>37.6</v>
      </c>
      <c r="O67" s="21">
        <v>6.9</v>
      </c>
      <c r="P67" s="21">
        <v>5.0</v>
      </c>
      <c r="T67" s="80"/>
      <c r="U67" s="81"/>
    </row>
    <row r="68">
      <c r="A68" s="62" t="s">
        <v>91</v>
      </c>
      <c r="B68" s="60">
        <v>19.0</v>
      </c>
      <c r="C68" s="60">
        <v>6.0</v>
      </c>
      <c r="D68" s="60">
        <v>3.0</v>
      </c>
      <c r="E68" s="60">
        <v>1.0</v>
      </c>
      <c r="F68" s="60">
        <v>1.0</v>
      </c>
      <c r="G68" s="71">
        <v>2.0</v>
      </c>
      <c r="H68" s="73">
        <f t="shared" si="4"/>
        <v>32.7</v>
      </c>
      <c r="K68" s="21" t="s">
        <v>129</v>
      </c>
      <c r="L68" s="59">
        <v>19.616666666666667</v>
      </c>
      <c r="M68" s="59">
        <v>17.25</v>
      </c>
      <c r="N68" s="59">
        <v>28.7</v>
      </c>
      <c r="O68" s="21">
        <v>13.3</v>
      </c>
      <c r="P68" s="21">
        <v>6.0</v>
      </c>
      <c r="T68" s="80"/>
      <c r="U68" s="81"/>
    </row>
    <row r="69">
      <c r="A69" s="62" t="s">
        <v>91</v>
      </c>
      <c r="B69" s="60">
        <v>17.0</v>
      </c>
      <c r="C69" s="60">
        <v>7.0</v>
      </c>
      <c r="D69" s="60">
        <v>1.0</v>
      </c>
      <c r="E69" s="60">
        <v>1.0</v>
      </c>
      <c r="F69" s="60">
        <v>2.0</v>
      </c>
      <c r="G69" s="71">
        <v>0.0</v>
      </c>
      <c r="H69" s="72">
        <f t="shared" si="4"/>
        <v>32.9</v>
      </c>
      <c r="K69" s="21" t="s">
        <v>130</v>
      </c>
      <c r="L69" s="59">
        <v>19.4</v>
      </c>
      <c r="M69" s="59">
        <v>19.4</v>
      </c>
      <c r="N69" s="59">
        <v>19.4</v>
      </c>
      <c r="O69" s="21">
        <v>19.4</v>
      </c>
      <c r="P69" s="21">
        <v>1.0</v>
      </c>
      <c r="T69" s="80"/>
      <c r="U69" s="80"/>
    </row>
    <row r="70">
      <c r="A70" s="62" t="s">
        <v>91</v>
      </c>
      <c r="B70" s="60">
        <v>20.0</v>
      </c>
      <c r="C70" s="60">
        <v>6.0</v>
      </c>
      <c r="D70" s="60">
        <v>1.0</v>
      </c>
      <c r="E70" s="60">
        <v>1.0</v>
      </c>
      <c r="F70" s="60">
        <v>0.0</v>
      </c>
      <c r="G70" s="71">
        <v>2.0</v>
      </c>
      <c r="H70" s="73">
        <f t="shared" si="4"/>
        <v>28.7</v>
      </c>
      <c r="K70" s="21" t="s">
        <v>112</v>
      </c>
      <c r="L70" s="59">
        <v>18.866666666666667</v>
      </c>
      <c r="M70" s="59">
        <v>25.1</v>
      </c>
      <c r="N70" s="59">
        <v>26.1</v>
      </c>
      <c r="O70" s="21">
        <v>5.4</v>
      </c>
      <c r="P70" s="21">
        <v>3.0</v>
      </c>
      <c r="T70" s="80"/>
      <c r="U70" s="80"/>
    </row>
    <row r="71">
      <c r="A71" s="62" t="s">
        <v>54</v>
      </c>
      <c r="B71" s="77">
        <v>24.0</v>
      </c>
      <c r="C71" s="77">
        <v>6.0</v>
      </c>
      <c r="D71" s="77">
        <v>7.0</v>
      </c>
      <c r="E71" s="77">
        <v>0.0</v>
      </c>
      <c r="F71" s="77">
        <v>0.0</v>
      </c>
      <c r="G71" s="78">
        <v>2.0</v>
      </c>
      <c r="H71" s="72">
        <f t="shared" si="4"/>
        <v>39.7</v>
      </c>
      <c r="K71" s="21" t="s">
        <v>131</v>
      </c>
      <c r="L71" s="59">
        <v>18.7</v>
      </c>
      <c r="M71" s="59">
        <v>24.5</v>
      </c>
      <c r="N71" s="59">
        <v>31.6</v>
      </c>
      <c r="O71" s="21">
        <v>0.0</v>
      </c>
      <c r="P71" s="21">
        <v>3.0</v>
      </c>
      <c r="T71" s="80"/>
      <c r="U71" s="80"/>
    </row>
    <row r="72">
      <c r="A72" s="62" t="s">
        <v>54</v>
      </c>
      <c r="B72" s="60">
        <v>25.0</v>
      </c>
      <c r="C72" s="60">
        <v>4.0</v>
      </c>
      <c r="D72" s="60">
        <v>4.0</v>
      </c>
      <c r="E72" s="60">
        <v>1.0</v>
      </c>
      <c r="F72" s="60">
        <v>0.0</v>
      </c>
      <c r="G72" s="71">
        <v>0.0</v>
      </c>
      <c r="H72" s="73">
        <f t="shared" si="4"/>
        <v>37.8</v>
      </c>
      <c r="K72" s="21" t="s">
        <v>46</v>
      </c>
      <c r="L72" s="59">
        <v>18.53333333333333</v>
      </c>
      <c r="M72" s="59">
        <v>20.2</v>
      </c>
      <c r="N72" s="59">
        <v>27.2</v>
      </c>
      <c r="O72" s="21">
        <v>8.2</v>
      </c>
      <c r="P72" s="21">
        <v>3.0</v>
      </c>
      <c r="T72" s="80"/>
      <c r="U72" s="80"/>
    </row>
    <row r="73">
      <c r="A73" s="62" t="s">
        <v>54</v>
      </c>
      <c r="B73" s="60">
        <v>32.0</v>
      </c>
      <c r="C73" s="60">
        <v>7.0</v>
      </c>
      <c r="D73" s="60">
        <v>8.0</v>
      </c>
      <c r="E73" s="60">
        <v>2.0</v>
      </c>
      <c r="F73" s="60">
        <v>0.0</v>
      </c>
      <c r="G73" s="71">
        <v>1.0</v>
      </c>
      <c r="H73" s="72">
        <f t="shared" si="4"/>
        <v>55.4</v>
      </c>
      <c r="K73" s="21" t="s">
        <v>86</v>
      </c>
      <c r="L73" s="59">
        <v>18.1</v>
      </c>
      <c r="M73" s="59">
        <v>18.1</v>
      </c>
      <c r="N73" s="59">
        <v>19.7</v>
      </c>
      <c r="O73" s="21">
        <v>16.5</v>
      </c>
      <c r="P73" s="21">
        <v>2.0</v>
      </c>
      <c r="T73" s="80"/>
      <c r="U73" s="80"/>
    </row>
    <row r="74">
      <c r="A74" s="62" t="s">
        <v>54</v>
      </c>
      <c r="B74" s="60">
        <v>25.0</v>
      </c>
      <c r="C74" s="60">
        <v>4.0</v>
      </c>
      <c r="D74" s="60">
        <v>4.0</v>
      </c>
      <c r="E74" s="60">
        <v>2.0</v>
      </c>
      <c r="F74" s="60">
        <v>0.0</v>
      </c>
      <c r="G74" s="71">
        <v>2.0</v>
      </c>
      <c r="H74" s="72">
        <f t="shared" si="4"/>
        <v>37.8</v>
      </c>
      <c r="K74" s="21" t="s">
        <v>132</v>
      </c>
      <c r="L74" s="59">
        <v>18.0</v>
      </c>
      <c r="M74" s="59">
        <v>18.0</v>
      </c>
      <c r="N74" s="59">
        <v>18.0</v>
      </c>
      <c r="O74" s="21">
        <v>18.0</v>
      </c>
      <c r="P74" s="21">
        <v>1.0</v>
      </c>
      <c r="T74" s="80"/>
      <c r="U74" s="80"/>
    </row>
    <row r="75">
      <c r="A75" s="67" t="s">
        <v>54</v>
      </c>
      <c r="B75" s="60">
        <v>23.0</v>
      </c>
      <c r="C75" s="60">
        <v>3.0</v>
      </c>
      <c r="D75" s="60">
        <v>5.0</v>
      </c>
      <c r="E75" s="60">
        <v>1.0</v>
      </c>
      <c r="F75" s="60">
        <v>2.0</v>
      </c>
      <c r="G75" s="71">
        <v>5.0</v>
      </c>
      <c r="H75" s="73">
        <f t="shared" si="4"/>
        <v>35.1</v>
      </c>
      <c r="K75" s="21" t="s">
        <v>85</v>
      </c>
      <c r="L75" s="59">
        <v>17.6875</v>
      </c>
      <c r="M75" s="59">
        <v>15.399999999999999</v>
      </c>
      <c r="N75" s="59">
        <v>33.5</v>
      </c>
      <c r="O75" s="21">
        <v>9.8</v>
      </c>
      <c r="P75" s="21">
        <v>8.0</v>
      </c>
      <c r="T75" s="80"/>
      <c r="U75" s="80"/>
    </row>
    <row r="76">
      <c r="A76" s="24" t="s">
        <v>103</v>
      </c>
      <c r="B76" s="60">
        <v>25.0</v>
      </c>
      <c r="C76" s="60">
        <v>2.0</v>
      </c>
      <c r="D76" s="60">
        <v>6.0</v>
      </c>
      <c r="E76" s="60">
        <v>0.0</v>
      </c>
      <c r="F76" s="60">
        <v>0.0</v>
      </c>
      <c r="G76" s="71">
        <v>2.0</v>
      </c>
      <c r="H76" s="73">
        <f t="shared" si="4"/>
        <v>34.4</v>
      </c>
      <c r="K76" s="21" t="s">
        <v>133</v>
      </c>
      <c r="L76" s="59">
        <v>17.52</v>
      </c>
      <c r="M76" s="59">
        <v>15.899999999999999</v>
      </c>
      <c r="N76" s="59">
        <v>26.5</v>
      </c>
      <c r="O76" s="21">
        <v>13.4</v>
      </c>
      <c r="P76" s="21">
        <v>5.0</v>
      </c>
      <c r="T76" s="80"/>
      <c r="U76" s="80"/>
    </row>
    <row r="77">
      <c r="A77" s="62" t="s">
        <v>103</v>
      </c>
      <c r="B77" s="60">
        <v>7.0</v>
      </c>
      <c r="C77" s="60">
        <v>6.0</v>
      </c>
      <c r="D77" s="60">
        <v>2.0</v>
      </c>
      <c r="E77" s="60">
        <v>3.0</v>
      </c>
      <c r="F77" s="60">
        <v>1.0</v>
      </c>
      <c r="G77" s="71">
        <v>0.0</v>
      </c>
      <c r="H77" s="72">
        <f t="shared" si="4"/>
        <v>25.2</v>
      </c>
      <c r="K77" s="21" t="s">
        <v>127</v>
      </c>
      <c r="L77" s="59">
        <v>17.425</v>
      </c>
      <c r="M77" s="59">
        <v>18.450000000000003</v>
      </c>
      <c r="N77" s="59">
        <v>31.4</v>
      </c>
      <c r="O77" s="21">
        <v>1.4000000000000004</v>
      </c>
      <c r="P77" s="21">
        <v>4.0</v>
      </c>
      <c r="T77" s="80"/>
      <c r="U77" s="80"/>
    </row>
    <row r="78">
      <c r="A78" s="76" t="s">
        <v>103</v>
      </c>
      <c r="B78" s="60">
        <v>26.0</v>
      </c>
      <c r="C78" s="60">
        <v>1.0</v>
      </c>
      <c r="D78" s="60">
        <v>2.0</v>
      </c>
      <c r="E78" s="60">
        <v>0.0</v>
      </c>
      <c r="F78" s="60">
        <v>1.0</v>
      </c>
      <c r="G78" s="71">
        <v>1.0</v>
      </c>
      <c r="H78" s="73">
        <f t="shared" si="4"/>
        <v>31.2</v>
      </c>
      <c r="K78" s="21" t="s">
        <v>134</v>
      </c>
      <c r="L78" s="59">
        <v>16.4</v>
      </c>
      <c r="M78" s="59">
        <v>15.8</v>
      </c>
      <c r="N78" s="59">
        <v>22.0</v>
      </c>
      <c r="O78" s="21">
        <v>11.4</v>
      </c>
      <c r="P78" s="21">
        <v>3.0</v>
      </c>
      <c r="T78" s="80"/>
      <c r="U78" s="80"/>
    </row>
    <row r="79">
      <c r="A79" s="24" t="s">
        <v>64</v>
      </c>
      <c r="B79" s="60">
        <v>37.0</v>
      </c>
      <c r="C79" s="60">
        <v>12.0</v>
      </c>
      <c r="D79" s="60">
        <v>6.0</v>
      </c>
      <c r="E79" s="60">
        <v>1.0</v>
      </c>
      <c r="F79" s="60">
        <v>0.0</v>
      </c>
      <c r="G79" s="71">
        <v>5.0</v>
      </c>
      <c r="H79" s="73">
        <f t="shared" si="4"/>
        <v>57.4</v>
      </c>
      <c r="K79" s="21" t="s">
        <v>135</v>
      </c>
      <c r="L79" s="59">
        <v>16.3</v>
      </c>
      <c r="M79" s="59">
        <v>16.3</v>
      </c>
      <c r="N79" s="59">
        <v>16.3</v>
      </c>
      <c r="O79" s="21">
        <v>16.3</v>
      </c>
      <c r="P79" s="21">
        <v>1.0</v>
      </c>
      <c r="T79" s="80"/>
      <c r="U79" s="80"/>
    </row>
    <row r="80">
      <c r="A80" s="24" t="s">
        <v>64</v>
      </c>
      <c r="B80" s="60">
        <v>34.0</v>
      </c>
      <c r="C80" s="60">
        <v>18.0</v>
      </c>
      <c r="D80" s="60">
        <v>7.0</v>
      </c>
      <c r="E80" s="60">
        <v>0.0</v>
      </c>
      <c r="F80" s="60">
        <v>1.0</v>
      </c>
      <c r="G80" s="71">
        <v>4.0</v>
      </c>
      <c r="H80" s="73">
        <f t="shared" si="4"/>
        <v>64.1</v>
      </c>
      <c r="K80" s="21" t="s">
        <v>136</v>
      </c>
      <c r="L80" s="59">
        <v>13.9</v>
      </c>
      <c r="M80" s="59">
        <v>13.9</v>
      </c>
      <c r="N80" s="59">
        <v>13.9</v>
      </c>
      <c r="O80" s="21">
        <v>13.9</v>
      </c>
      <c r="P80" s="21">
        <v>1.0</v>
      </c>
      <c r="T80" s="80"/>
      <c r="U80" s="80"/>
    </row>
    <row r="81">
      <c r="A81" s="24" t="s">
        <v>64</v>
      </c>
      <c r="B81" s="36">
        <v>36.0</v>
      </c>
      <c r="C81" s="36">
        <v>12.0</v>
      </c>
      <c r="D81" s="36">
        <v>1.0</v>
      </c>
      <c r="E81" s="36">
        <v>1.0</v>
      </c>
      <c r="F81" s="36">
        <v>2.0</v>
      </c>
      <c r="G81" s="74">
        <v>5.0</v>
      </c>
      <c r="H81" s="75">
        <v>52.9</v>
      </c>
      <c r="K81" s="21" t="s">
        <v>137</v>
      </c>
      <c r="L81" s="59">
        <v>13.8</v>
      </c>
      <c r="M81" s="59">
        <v>13.8</v>
      </c>
      <c r="N81" s="59">
        <v>15.9</v>
      </c>
      <c r="O81" s="21">
        <v>11.7</v>
      </c>
      <c r="P81" s="21">
        <v>2.0</v>
      </c>
      <c r="T81" s="80"/>
      <c r="U81" s="80"/>
    </row>
    <row r="82">
      <c r="A82" s="24" t="s">
        <v>64</v>
      </c>
      <c r="B82" s="60">
        <v>28.0</v>
      </c>
      <c r="C82" s="60">
        <v>15.0</v>
      </c>
      <c r="D82" s="60">
        <v>6.0</v>
      </c>
      <c r="E82" s="60">
        <v>1.0</v>
      </c>
      <c r="F82" s="60">
        <v>0.0</v>
      </c>
      <c r="G82" s="71">
        <v>2.0</v>
      </c>
      <c r="H82" s="72">
        <f t="shared" ref="H82:H84" si="5">sum(B82+1.2*C82+1.5*D82+2*E82+2*F82)-G82</f>
        <v>55</v>
      </c>
      <c r="K82" s="21" t="s">
        <v>138</v>
      </c>
      <c r="L82" s="59">
        <v>12.5</v>
      </c>
      <c r="M82" s="59">
        <v>12.5</v>
      </c>
      <c r="N82" s="59">
        <v>12.5</v>
      </c>
      <c r="O82" s="21">
        <v>12.5</v>
      </c>
      <c r="P82" s="21">
        <v>1.0</v>
      </c>
      <c r="T82" s="80"/>
      <c r="U82" s="80"/>
    </row>
    <row r="83">
      <c r="A83" s="24" t="s">
        <v>64</v>
      </c>
      <c r="B83" s="60">
        <v>30.0</v>
      </c>
      <c r="C83" s="60">
        <v>20.0</v>
      </c>
      <c r="D83" s="60">
        <v>13.0</v>
      </c>
      <c r="E83" s="60">
        <v>2.0</v>
      </c>
      <c r="F83" s="60">
        <v>2.0</v>
      </c>
      <c r="G83" s="71">
        <v>7.0</v>
      </c>
      <c r="H83" s="73">
        <f t="shared" si="5"/>
        <v>74.5</v>
      </c>
      <c r="K83" s="21" t="s">
        <v>123</v>
      </c>
      <c r="L83" s="59">
        <v>12.5</v>
      </c>
      <c r="M83" s="59">
        <v>12.5</v>
      </c>
      <c r="N83" s="59">
        <v>12.5</v>
      </c>
      <c r="O83" s="21">
        <v>12.5</v>
      </c>
      <c r="P83" s="21">
        <v>1.0</v>
      </c>
      <c r="T83" s="80"/>
      <c r="U83" s="80"/>
    </row>
    <row r="84">
      <c r="A84" s="62" t="s">
        <v>121</v>
      </c>
      <c r="B84" s="60">
        <v>6.0</v>
      </c>
      <c r="C84" s="60">
        <v>10.0</v>
      </c>
      <c r="D84" s="60">
        <v>3.0</v>
      </c>
      <c r="E84" s="60">
        <v>0.0</v>
      </c>
      <c r="F84" s="60">
        <v>1.0</v>
      </c>
      <c r="G84" s="71">
        <v>2.0</v>
      </c>
      <c r="H84" s="72">
        <f t="shared" si="5"/>
        <v>22.5</v>
      </c>
      <c r="K84" s="21" t="s">
        <v>124</v>
      </c>
      <c r="L84" s="59">
        <v>7.4</v>
      </c>
      <c r="M84" s="59">
        <v>7.4</v>
      </c>
      <c r="N84" s="59">
        <v>7.4</v>
      </c>
      <c r="O84" s="21">
        <v>7.4</v>
      </c>
      <c r="P84" s="21">
        <v>1.0</v>
      </c>
      <c r="T84" s="80"/>
      <c r="U84" s="80"/>
    </row>
    <row r="85">
      <c r="A85" s="24" t="s">
        <v>99</v>
      </c>
      <c r="B85" s="36">
        <v>21.0</v>
      </c>
      <c r="C85" s="36">
        <v>13.0</v>
      </c>
      <c r="D85" s="36">
        <v>2.0</v>
      </c>
      <c r="E85" s="36">
        <v>1.0</v>
      </c>
      <c r="F85" s="36">
        <v>0.0</v>
      </c>
      <c r="G85" s="74">
        <v>2.0</v>
      </c>
      <c r="H85" s="75">
        <v>39.6</v>
      </c>
      <c r="K85" s="21" t="s">
        <v>139</v>
      </c>
      <c r="L85" s="59">
        <v>7.1</v>
      </c>
      <c r="M85" s="59">
        <v>7.1000000000000005</v>
      </c>
      <c r="N85" s="59">
        <v>12.5</v>
      </c>
      <c r="O85" s="21">
        <v>1.7000000000000002</v>
      </c>
      <c r="P85" s="21">
        <v>2.0</v>
      </c>
      <c r="T85" s="80"/>
      <c r="U85" s="80"/>
    </row>
    <row r="86">
      <c r="A86" s="62" t="s">
        <v>99</v>
      </c>
      <c r="B86" s="77">
        <v>16.0</v>
      </c>
      <c r="C86" s="77">
        <v>12.0</v>
      </c>
      <c r="D86" s="77">
        <v>4.0</v>
      </c>
      <c r="E86" s="77">
        <v>1.0</v>
      </c>
      <c r="F86" s="77">
        <v>0.0</v>
      </c>
      <c r="G86" s="78">
        <v>2.0</v>
      </c>
      <c r="H86" s="73">
        <f t="shared" ref="H86:H95" si="6">sum(B86+1.2*C86+1.5*D86+2*E86+2*F86)-G86</f>
        <v>36.4</v>
      </c>
      <c r="L86" s="59"/>
      <c r="M86" s="59"/>
      <c r="N86" s="59"/>
      <c r="T86" s="80"/>
      <c r="U86" s="80"/>
    </row>
    <row r="87">
      <c r="A87" s="62" t="s">
        <v>99</v>
      </c>
      <c r="B87" s="60">
        <v>19.0</v>
      </c>
      <c r="C87" s="60">
        <v>9.0</v>
      </c>
      <c r="D87" s="60">
        <v>1.0</v>
      </c>
      <c r="E87" s="60">
        <v>0.0</v>
      </c>
      <c r="F87" s="60">
        <v>1.0</v>
      </c>
      <c r="G87" s="71">
        <v>2.0</v>
      </c>
      <c r="H87" s="73">
        <f t="shared" si="6"/>
        <v>31.3</v>
      </c>
      <c r="L87" s="59"/>
      <c r="M87" s="59"/>
      <c r="N87" s="59"/>
      <c r="T87" s="80"/>
      <c r="U87" s="80"/>
    </row>
    <row r="88">
      <c r="A88" s="62" t="s">
        <v>99</v>
      </c>
      <c r="B88" s="60">
        <v>19.0</v>
      </c>
      <c r="C88" s="60">
        <v>12.0</v>
      </c>
      <c r="D88" s="60">
        <v>6.0</v>
      </c>
      <c r="E88" s="60">
        <v>1.0</v>
      </c>
      <c r="F88" s="60">
        <v>1.0</v>
      </c>
      <c r="G88" s="71">
        <v>0.0</v>
      </c>
      <c r="H88" s="73">
        <f t="shared" si="6"/>
        <v>46.4</v>
      </c>
      <c r="L88" s="59"/>
      <c r="M88" s="59"/>
      <c r="N88" s="59"/>
      <c r="T88" s="80"/>
      <c r="U88" s="80"/>
    </row>
    <row r="89">
      <c r="A89" s="62" t="s">
        <v>99</v>
      </c>
      <c r="B89" s="60">
        <v>27.0</v>
      </c>
      <c r="C89" s="60">
        <v>5.0</v>
      </c>
      <c r="D89" s="60">
        <v>1.0</v>
      </c>
      <c r="E89" s="60">
        <v>0.0</v>
      </c>
      <c r="F89" s="60">
        <v>2.0</v>
      </c>
      <c r="G89" s="71">
        <v>1.0</v>
      </c>
      <c r="H89" s="72">
        <f t="shared" si="6"/>
        <v>37.5</v>
      </c>
      <c r="L89" s="59"/>
      <c r="M89" s="59"/>
      <c r="N89" s="59"/>
      <c r="T89" s="80"/>
      <c r="U89" s="80"/>
    </row>
    <row r="90">
      <c r="A90" s="62" t="s">
        <v>115</v>
      </c>
      <c r="B90" s="60">
        <v>17.0</v>
      </c>
      <c r="C90" s="60">
        <v>3.0</v>
      </c>
      <c r="D90" s="60">
        <v>4.0</v>
      </c>
      <c r="E90" s="60">
        <v>0.0</v>
      </c>
      <c r="F90" s="60">
        <v>1.0</v>
      </c>
      <c r="G90" s="71">
        <v>1.0</v>
      </c>
      <c r="H90" s="73">
        <f t="shared" si="6"/>
        <v>27.6</v>
      </c>
      <c r="L90" s="59"/>
      <c r="M90" s="59"/>
      <c r="N90" s="59"/>
      <c r="T90" s="80"/>
      <c r="U90" s="80"/>
    </row>
    <row r="91">
      <c r="A91" s="62" t="s">
        <v>115</v>
      </c>
      <c r="B91" s="77">
        <v>23.0</v>
      </c>
      <c r="C91" s="77">
        <v>2.0</v>
      </c>
      <c r="D91" s="77">
        <v>6.0</v>
      </c>
      <c r="E91" s="77">
        <v>2.0</v>
      </c>
      <c r="F91" s="77">
        <v>1.0</v>
      </c>
      <c r="G91" s="78">
        <v>5.0</v>
      </c>
      <c r="H91" s="72">
        <f t="shared" si="6"/>
        <v>35.4</v>
      </c>
      <c r="K91" s="48" t="s">
        <v>140</v>
      </c>
      <c r="L91" s="82" t="s">
        <v>141</v>
      </c>
      <c r="M91" s="50"/>
      <c r="N91" s="82" t="s">
        <v>140</v>
      </c>
      <c r="O91" s="48" t="s">
        <v>142</v>
      </c>
      <c r="T91" s="80"/>
      <c r="U91" s="80"/>
    </row>
    <row r="92">
      <c r="A92" s="62" t="s">
        <v>115</v>
      </c>
      <c r="B92" s="60">
        <v>15.0</v>
      </c>
      <c r="C92" s="60">
        <v>1.0</v>
      </c>
      <c r="D92" s="60">
        <v>5.0</v>
      </c>
      <c r="E92" s="60">
        <v>0.0</v>
      </c>
      <c r="F92" s="60">
        <v>0.0</v>
      </c>
      <c r="G92" s="71">
        <v>0.0</v>
      </c>
      <c r="H92" s="72">
        <f t="shared" si="6"/>
        <v>23.7</v>
      </c>
      <c r="K92" s="83" t="s">
        <v>64</v>
      </c>
      <c r="L92" s="82" t="s">
        <v>143</v>
      </c>
      <c r="M92" s="50"/>
      <c r="N92" s="83" t="s">
        <v>78</v>
      </c>
      <c r="O92" s="48" t="s">
        <v>144</v>
      </c>
      <c r="T92" s="80"/>
      <c r="U92" s="80"/>
    </row>
    <row r="93">
      <c r="A93" s="67" t="s">
        <v>136</v>
      </c>
      <c r="B93" s="68">
        <v>6.0</v>
      </c>
      <c r="C93" s="68">
        <v>2.0</v>
      </c>
      <c r="D93" s="68">
        <v>3.0</v>
      </c>
      <c r="E93" s="68">
        <v>0.0</v>
      </c>
      <c r="F93" s="68">
        <v>1.0</v>
      </c>
      <c r="G93" s="79">
        <v>1.0</v>
      </c>
      <c r="H93" s="73">
        <f t="shared" si="6"/>
        <v>13.9</v>
      </c>
      <c r="K93" s="83" t="s">
        <v>66</v>
      </c>
      <c r="L93" s="82" t="s">
        <v>143</v>
      </c>
      <c r="M93" s="50"/>
      <c r="N93" s="83" t="s">
        <v>75</v>
      </c>
      <c r="O93" s="48" t="s">
        <v>144</v>
      </c>
      <c r="T93" s="80"/>
      <c r="U93" s="80"/>
    </row>
    <row r="94">
      <c r="A94" s="24" t="s">
        <v>110</v>
      </c>
      <c r="B94" s="60">
        <v>8.0</v>
      </c>
      <c r="C94" s="60">
        <v>4.0</v>
      </c>
      <c r="D94" s="60">
        <v>1.0</v>
      </c>
      <c r="E94" s="60">
        <v>0.0</v>
      </c>
      <c r="F94" s="60">
        <v>1.0</v>
      </c>
      <c r="G94" s="71">
        <v>1.0</v>
      </c>
      <c r="H94" s="72">
        <f t="shared" si="6"/>
        <v>15.3</v>
      </c>
      <c r="K94" s="83" t="s">
        <v>69</v>
      </c>
      <c r="L94" s="82" t="s">
        <v>143</v>
      </c>
      <c r="M94" s="50"/>
      <c r="N94" s="83" t="s">
        <v>79</v>
      </c>
      <c r="O94" s="48" t="s">
        <v>144</v>
      </c>
      <c r="T94" s="80"/>
      <c r="U94" s="80"/>
    </row>
    <row r="95">
      <c r="A95" s="76" t="s">
        <v>110</v>
      </c>
      <c r="B95" s="60">
        <v>8.0</v>
      </c>
      <c r="C95" s="60">
        <v>3.0</v>
      </c>
      <c r="D95" s="60">
        <v>0.0</v>
      </c>
      <c r="E95" s="60">
        <v>1.0</v>
      </c>
      <c r="F95" s="60">
        <v>0.0</v>
      </c>
      <c r="G95" s="71">
        <v>0.0</v>
      </c>
      <c r="H95" s="72">
        <f t="shared" si="6"/>
        <v>13.6</v>
      </c>
      <c r="K95" s="83" t="s">
        <v>71</v>
      </c>
      <c r="L95" s="82" t="s">
        <v>143</v>
      </c>
      <c r="M95" s="50"/>
      <c r="N95" s="83" t="s">
        <v>84</v>
      </c>
      <c r="O95" s="48" t="s">
        <v>144</v>
      </c>
      <c r="T95" s="80"/>
      <c r="U95" s="80"/>
    </row>
    <row r="96">
      <c r="A96" s="24" t="s">
        <v>84</v>
      </c>
      <c r="B96" s="36">
        <v>34.0</v>
      </c>
      <c r="C96" s="36">
        <v>2.0</v>
      </c>
      <c r="D96" s="36">
        <v>8.0</v>
      </c>
      <c r="E96" s="36">
        <v>0.0</v>
      </c>
      <c r="F96" s="36">
        <v>0.0</v>
      </c>
      <c r="G96" s="74">
        <v>1.0</v>
      </c>
      <c r="H96" s="75">
        <v>47.4</v>
      </c>
      <c r="K96" s="83" t="s">
        <v>51</v>
      </c>
      <c r="L96" s="82" t="s">
        <v>143</v>
      </c>
      <c r="M96" s="50"/>
      <c r="N96" s="83" t="s">
        <v>73</v>
      </c>
      <c r="O96" s="48" t="s">
        <v>144</v>
      </c>
      <c r="T96" s="80"/>
      <c r="U96" s="80"/>
    </row>
    <row r="97">
      <c r="A97" s="62" t="s">
        <v>84</v>
      </c>
      <c r="B97" s="60">
        <v>37.0</v>
      </c>
      <c r="C97" s="60">
        <v>3.0</v>
      </c>
      <c r="D97" s="60">
        <v>7.0</v>
      </c>
      <c r="E97" s="60">
        <v>2.0</v>
      </c>
      <c r="F97" s="60">
        <v>0.0</v>
      </c>
      <c r="G97" s="71">
        <v>6.0</v>
      </c>
      <c r="H97" s="73">
        <f t="shared" ref="H97:H101" si="7">sum(B97+1.2*C97+1.5*D97+2*E97+2*F97)-G97</f>
        <v>49.1</v>
      </c>
      <c r="K97" s="83" t="s">
        <v>65</v>
      </c>
      <c r="L97" s="82" t="s">
        <v>143</v>
      </c>
      <c r="M97" s="50"/>
      <c r="N97" s="83" t="s">
        <v>92</v>
      </c>
      <c r="O97" s="48" t="s">
        <v>144</v>
      </c>
      <c r="T97" s="80"/>
      <c r="U97" s="80"/>
    </row>
    <row r="98">
      <c r="A98" s="24" t="s">
        <v>84</v>
      </c>
      <c r="B98" s="60">
        <v>30.0</v>
      </c>
      <c r="C98" s="60">
        <v>7.0</v>
      </c>
      <c r="D98" s="60">
        <v>9.0</v>
      </c>
      <c r="E98" s="60">
        <v>0.0</v>
      </c>
      <c r="F98" s="60">
        <v>1.0</v>
      </c>
      <c r="G98" s="71">
        <v>1.0</v>
      </c>
      <c r="H98" s="73">
        <f t="shared" si="7"/>
        <v>52.9</v>
      </c>
      <c r="K98" s="83" t="s">
        <v>50</v>
      </c>
      <c r="L98" s="82" t="s">
        <v>143</v>
      </c>
      <c r="M98" s="50"/>
      <c r="N98" s="83" t="s">
        <v>94</v>
      </c>
      <c r="O98" s="48" t="s">
        <v>144</v>
      </c>
      <c r="T98" s="80"/>
      <c r="U98" s="80"/>
    </row>
    <row r="99">
      <c r="A99" s="62" t="s">
        <v>84</v>
      </c>
      <c r="B99" s="60">
        <v>32.0</v>
      </c>
      <c r="C99" s="60">
        <v>5.0</v>
      </c>
      <c r="D99" s="60">
        <v>11.0</v>
      </c>
      <c r="E99" s="60">
        <v>0.0</v>
      </c>
      <c r="F99" s="60">
        <v>1.0</v>
      </c>
      <c r="G99" s="71">
        <v>2.0</v>
      </c>
      <c r="H99" s="72">
        <f t="shared" si="7"/>
        <v>54.5</v>
      </c>
      <c r="K99" s="83" t="s">
        <v>54</v>
      </c>
      <c r="L99" s="82" t="s">
        <v>143</v>
      </c>
      <c r="M99" s="50"/>
      <c r="N99" s="83" t="s">
        <v>72</v>
      </c>
      <c r="O99" s="48" t="s">
        <v>144</v>
      </c>
      <c r="T99" s="80"/>
      <c r="U99" s="80"/>
    </row>
    <row r="100">
      <c r="A100" s="24" t="s">
        <v>84</v>
      </c>
      <c r="B100" s="60">
        <v>16.0</v>
      </c>
      <c r="C100" s="60">
        <v>3.0</v>
      </c>
      <c r="D100" s="60">
        <v>7.0</v>
      </c>
      <c r="E100" s="60">
        <v>0.0</v>
      </c>
      <c r="F100" s="60">
        <v>0.0</v>
      </c>
      <c r="G100" s="71">
        <v>4.0</v>
      </c>
      <c r="H100" s="73">
        <f t="shared" si="7"/>
        <v>26.1</v>
      </c>
      <c r="K100" s="83" t="s">
        <v>80</v>
      </c>
      <c r="L100" s="82" t="s">
        <v>143</v>
      </c>
      <c r="M100" s="50"/>
      <c r="N100" s="83" t="s">
        <v>90</v>
      </c>
      <c r="O100" s="48" t="s">
        <v>144</v>
      </c>
      <c r="T100" s="80"/>
      <c r="U100" s="80"/>
    </row>
    <row r="101">
      <c r="A101" s="67" t="s">
        <v>108</v>
      </c>
      <c r="B101" s="68">
        <v>9.0</v>
      </c>
      <c r="C101" s="68">
        <v>14.0</v>
      </c>
      <c r="D101" s="68">
        <v>6.0</v>
      </c>
      <c r="E101" s="68">
        <v>0.0</v>
      </c>
      <c r="F101" s="68">
        <v>2.0</v>
      </c>
      <c r="G101" s="79">
        <v>1.0</v>
      </c>
      <c r="H101" s="73">
        <f t="shared" si="7"/>
        <v>37.8</v>
      </c>
      <c r="K101" s="83" t="s">
        <v>70</v>
      </c>
      <c r="L101" s="82" t="s">
        <v>143</v>
      </c>
      <c r="M101" s="50"/>
      <c r="N101" s="84" t="s">
        <v>41</v>
      </c>
      <c r="O101" s="48" t="s">
        <v>144</v>
      </c>
      <c r="T101" s="80"/>
      <c r="U101" s="80"/>
    </row>
    <row r="102">
      <c r="A102" s="24" t="s">
        <v>108</v>
      </c>
      <c r="B102" s="36">
        <v>7.0</v>
      </c>
      <c r="C102" s="36">
        <v>6.0</v>
      </c>
      <c r="D102" s="36">
        <v>3.0</v>
      </c>
      <c r="E102" s="36">
        <v>1.0</v>
      </c>
      <c r="F102" s="36">
        <v>3.0</v>
      </c>
      <c r="G102" s="74">
        <v>1.0</v>
      </c>
      <c r="H102" s="75">
        <v>25.7</v>
      </c>
      <c r="K102" s="83" t="s">
        <v>81</v>
      </c>
      <c r="L102" s="82" t="s">
        <v>143</v>
      </c>
      <c r="M102" s="50"/>
      <c r="N102" s="83" t="s">
        <v>44</v>
      </c>
      <c r="O102" s="48" t="s">
        <v>144</v>
      </c>
      <c r="T102" s="80"/>
      <c r="U102" s="80"/>
    </row>
    <row r="103">
      <c r="A103" s="67" t="s">
        <v>108</v>
      </c>
      <c r="B103" s="60">
        <v>12.0</v>
      </c>
      <c r="C103" s="60">
        <v>13.0</v>
      </c>
      <c r="D103" s="60">
        <v>2.0</v>
      </c>
      <c r="E103" s="60">
        <v>1.0</v>
      </c>
      <c r="F103" s="60">
        <v>3.0</v>
      </c>
      <c r="G103" s="71">
        <v>2.0</v>
      </c>
      <c r="H103" s="73">
        <f t="shared" ref="H103:H113" si="8">sum(B103+1.2*C103+1.5*D103+2*E103+2*F103)-G103</f>
        <v>36.6</v>
      </c>
      <c r="K103" s="83" t="s">
        <v>99</v>
      </c>
      <c r="L103" s="82" t="s">
        <v>143</v>
      </c>
      <c r="M103" s="50"/>
      <c r="N103" s="83" t="s">
        <v>87</v>
      </c>
      <c r="O103" s="48" t="s">
        <v>144</v>
      </c>
      <c r="T103" s="80"/>
      <c r="U103" s="80"/>
    </row>
    <row r="104">
      <c r="A104" s="62" t="s">
        <v>108</v>
      </c>
      <c r="B104" s="60">
        <v>16.0</v>
      </c>
      <c r="C104" s="60">
        <v>8.0</v>
      </c>
      <c r="D104" s="60">
        <v>3.0</v>
      </c>
      <c r="E104" s="60">
        <v>0.0</v>
      </c>
      <c r="F104" s="60">
        <v>0.0</v>
      </c>
      <c r="G104" s="71">
        <v>1.0</v>
      </c>
      <c r="H104" s="72">
        <f t="shared" si="8"/>
        <v>29.1</v>
      </c>
      <c r="K104" s="83" t="s">
        <v>56</v>
      </c>
      <c r="L104" s="82" t="s">
        <v>143</v>
      </c>
      <c r="M104" s="50"/>
      <c r="N104" s="83" t="s">
        <v>113</v>
      </c>
      <c r="O104" s="48" t="s">
        <v>144</v>
      </c>
      <c r="T104" s="80"/>
      <c r="U104" s="80"/>
    </row>
    <row r="105">
      <c r="A105" s="67" t="s">
        <v>108</v>
      </c>
      <c r="B105" s="68">
        <v>6.0</v>
      </c>
      <c r="C105" s="68">
        <v>17.0</v>
      </c>
      <c r="D105" s="68">
        <v>4.0</v>
      </c>
      <c r="E105" s="68">
        <v>0.0</v>
      </c>
      <c r="F105" s="68">
        <v>2.0</v>
      </c>
      <c r="G105" s="79">
        <v>3.0</v>
      </c>
      <c r="H105" s="73">
        <f t="shared" si="8"/>
        <v>33.4</v>
      </c>
      <c r="K105" s="83" t="s">
        <v>89</v>
      </c>
      <c r="L105" s="82" t="s">
        <v>143</v>
      </c>
      <c r="M105" s="50"/>
      <c r="N105" s="83" t="s">
        <v>103</v>
      </c>
      <c r="O105" s="48" t="s">
        <v>144</v>
      </c>
      <c r="T105" s="80"/>
      <c r="U105" s="80"/>
    </row>
    <row r="106">
      <c r="A106" s="62" t="s">
        <v>109</v>
      </c>
      <c r="B106" s="77">
        <v>7.0</v>
      </c>
      <c r="C106" s="77">
        <v>8.0</v>
      </c>
      <c r="D106" s="77">
        <v>2.0</v>
      </c>
      <c r="E106" s="77">
        <v>0.0</v>
      </c>
      <c r="F106" s="77">
        <v>0.0</v>
      </c>
      <c r="G106" s="78">
        <v>1.0</v>
      </c>
      <c r="H106" s="73">
        <f t="shared" si="8"/>
        <v>18.6</v>
      </c>
      <c r="K106" s="83" t="s">
        <v>98</v>
      </c>
      <c r="L106" s="82" t="s">
        <v>143</v>
      </c>
      <c r="M106" s="50"/>
      <c r="N106" s="83" t="s">
        <v>93</v>
      </c>
      <c r="O106" s="48" t="s">
        <v>144</v>
      </c>
      <c r="T106" s="80"/>
      <c r="U106" s="80"/>
    </row>
    <row r="107">
      <c r="A107" s="62" t="s">
        <v>109</v>
      </c>
      <c r="B107" s="60">
        <v>38.0</v>
      </c>
      <c r="C107" s="60">
        <v>4.0</v>
      </c>
      <c r="D107" s="60">
        <v>6.0</v>
      </c>
      <c r="E107" s="60">
        <v>3.0</v>
      </c>
      <c r="F107" s="60">
        <v>0.0</v>
      </c>
      <c r="G107" s="71">
        <v>2.0</v>
      </c>
      <c r="H107" s="73">
        <f t="shared" si="8"/>
        <v>55.8</v>
      </c>
      <c r="K107" s="83" t="s">
        <v>101</v>
      </c>
      <c r="L107" s="82" t="s">
        <v>143</v>
      </c>
      <c r="M107" s="50"/>
      <c r="N107" s="83" t="s">
        <v>100</v>
      </c>
      <c r="O107" s="48" t="s">
        <v>144</v>
      </c>
      <c r="T107" s="80"/>
      <c r="U107" s="80"/>
    </row>
    <row r="108">
      <c r="A108" s="24" t="s">
        <v>109</v>
      </c>
      <c r="B108" s="60">
        <v>8.0</v>
      </c>
      <c r="C108" s="60">
        <v>3.0</v>
      </c>
      <c r="D108" s="60">
        <v>1.0</v>
      </c>
      <c r="E108" s="60">
        <v>0.0</v>
      </c>
      <c r="F108" s="60">
        <v>0.0</v>
      </c>
      <c r="G108" s="71">
        <v>5.0</v>
      </c>
      <c r="H108" s="73">
        <f t="shared" si="8"/>
        <v>8.1</v>
      </c>
      <c r="K108" s="83" t="s">
        <v>88</v>
      </c>
      <c r="L108" s="82" t="s">
        <v>143</v>
      </c>
      <c r="M108" s="50"/>
      <c r="N108" s="83" t="s">
        <v>115</v>
      </c>
      <c r="O108" s="48" t="s">
        <v>144</v>
      </c>
      <c r="T108" s="80"/>
      <c r="U108" s="80"/>
    </row>
    <row r="109">
      <c r="A109" s="36" t="s">
        <v>109</v>
      </c>
      <c r="B109" s="60">
        <v>11.0</v>
      </c>
      <c r="C109" s="60">
        <v>8.0</v>
      </c>
      <c r="D109" s="60">
        <v>2.0</v>
      </c>
      <c r="E109" s="60">
        <v>0.0</v>
      </c>
      <c r="F109" s="60">
        <v>0.0</v>
      </c>
      <c r="G109" s="71">
        <v>0.0</v>
      </c>
      <c r="H109" s="73">
        <f t="shared" si="8"/>
        <v>23.6</v>
      </c>
      <c r="K109" s="83" t="s">
        <v>85</v>
      </c>
      <c r="L109" s="82" t="s">
        <v>143</v>
      </c>
      <c r="M109" s="50"/>
      <c r="N109" s="83" t="s">
        <v>109</v>
      </c>
      <c r="O109" s="48" t="s">
        <v>144</v>
      </c>
      <c r="T109" s="80"/>
      <c r="U109" s="80"/>
    </row>
    <row r="110">
      <c r="A110" s="62" t="s">
        <v>80</v>
      </c>
      <c r="B110" s="60">
        <v>20.0</v>
      </c>
      <c r="C110" s="60">
        <v>5.0</v>
      </c>
      <c r="D110" s="60">
        <v>6.0</v>
      </c>
      <c r="E110" s="60">
        <v>3.0</v>
      </c>
      <c r="F110" s="60">
        <v>1.0</v>
      </c>
      <c r="G110" s="71">
        <v>2.0</v>
      </c>
      <c r="H110" s="72">
        <f t="shared" si="8"/>
        <v>41</v>
      </c>
      <c r="K110" s="83" t="s">
        <v>105</v>
      </c>
      <c r="L110" s="82" t="s">
        <v>143</v>
      </c>
      <c r="M110" s="50"/>
      <c r="N110" s="83" t="s">
        <v>47</v>
      </c>
      <c r="O110" s="48" t="s">
        <v>144</v>
      </c>
      <c r="T110" s="80"/>
      <c r="U110" s="80"/>
    </row>
    <row r="111">
      <c r="A111" s="62" t="s">
        <v>80</v>
      </c>
      <c r="B111" s="77">
        <v>24.0</v>
      </c>
      <c r="C111" s="77">
        <v>6.0</v>
      </c>
      <c r="D111" s="77">
        <v>5.0</v>
      </c>
      <c r="E111" s="77">
        <v>1.0</v>
      </c>
      <c r="F111" s="77">
        <v>0.0</v>
      </c>
      <c r="G111" s="78">
        <v>1.0</v>
      </c>
      <c r="H111" s="73">
        <f t="shared" si="8"/>
        <v>39.7</v>
      </c>
      <c r="K111" s="83" t="s">
        <v>108</v>
      </c>
      <c r="L111" s="82" t="s">
        <v>143</v>
      </c>
      <c r="M111" s="50"/>
      <c r="N111" s="83" t="s">
        <v>96</v>
      </c>
      <c r="O111" s="48" t="s">
        <v>144</v>
      </c>
      <c r="T111" s="80"/>
      <c r="U111" s="80"/>
    </row>
    <row r="112">
      <c r="A112" s="24" t="s">
        <v>80</v>
      </c>
      <c r="B112" s="60">
        <v>26.0</v>
      </c>
      <c r="C112" s="60">
        <v>6.0</v>
      </c>
      <c r="D112" s="60">
        <v>5.0</v>
      </c>
      <c r="E112" s="60">
        <v>2.0</v>
      </c>
      <c r="F112" s="60">
        <v>1.0</v>
      </c>
      <c r="G112" s="71">
        <v>2.0</v>
      </c>
      <c r="H112" s="72">
        <f t="shared" si="8"/>
        <v>44.7</v>
      </c>
      <c r="K112" s="83" t="s">
        <v>111</v>
      </c>
      <c r="L112" s="82" t="s">
        <v>143</v>
      </c>
      <c r="M112" s="50"/>
      <c r="N112" s="83" t="s">
        <v>127</v>
      </c>
      <c r="O112" s="48" t="s">
        <v>144</v>
      </c>
      <c r="T112" s="80"/>
      <c r="U112" s="80"/>
    </row>
    <row r="113">
      <c r="A113" s="62" t="s">
        <v>80</v>
      </c>
      <c r="B113" s="60">
        <v>23.0</v>
      </c>
      <c r="C113" s="60">
        <v>4.0</v>
      </c>
      <c r="D113" s="60">
        <v>5.0</v>
      </c>
      <c r="E113" s="60">
        <v>0.0</v>
      </c>
      <c r="F113" s="60">
        <v>0.0</v>
      </c>
      <c r="G113" s="71">
        <v>1.0</v>
      </c>
      <c r="H113" s="73">
        <f t="shared" si="8"/>
        <v>34.3</v>
      </c>
      <c r="K113" s="83" t="s">
        <v>77</v>
      </c>
      <c r="L113" s="82" t="s">
        <v>143</v>
      </c>
      <c r="M113" s="50"/>
      <c r="N113" s="83" t="s">
        <v>117</v>
      </c>
      <c r="O113" s="48" t="s">
        <v>144</v>
      </c>
      <c r="T113" s="80"/>
      <c r="U113" s="80"/>
    </row>
    <row r="114">
      <c r="A114" s="24" t="s">
        <v>72</v>
      </c>
      <c r="B114" s="36">
        <v>21.0</v>
      </c>
      <c r="C114" s="36">
        <v>9.0</v>
      </c>
      <c r="D114" s="36">
        <v>7.0</v>
      </c>
      <c r="E114" s="36">
        <v>1.0</v>
      </c>
      <c r="F114" s="36">
        <v>0.0</v>
      </c>
      <c r="G114" s="74">
        <v>3.0</v>
      </c>
      <c r="H114" s="75">
        <v>41.3</v>
      </c>
      <c r="K114" s="83" t="s">
        <v>76</v>
      </c>
      <c r="L114" s="82" t="s">
        <v>143</v>
      </c>
      <c r="M114" s="50"/>
      <c r="N114" s="84" t="s">
        <v>97</v>
      </c>
      <c r="O114" s="48" t="s">
        <v>144</v>
      </c>
      <c r="T114" s="80"/>
      <c r="U114" s="80"/>
    </row>
    <row r="115">
      <c r="A115" s="24" t="s">
        <v>72</v>
      </c>
      <c r="B115" s="60">
        <v>23.0</v>
      </c>
      <c r="C115" s="60">
        <v>2.0</v>
      </c>
      <c r="D115" s="60">
        <v>6.0</v>
      </c>
      <c r="E115" s="60">
        <v>1.0</v>
      </c>
      <c r="F115" s="60">
        <v>1.0</v>
      </c>
      <c r="G115" s="71">
        <v>4.0</v>
      </c>
      <c r="H115" s="72">
        <f t="shared" ref="H115:H118" si="9">sum(B115+1.2*C115+1.5*D115+2*E115+2*F115)-G115</f>
        <v>34.4</v>
      </c>
      <c r="K115" s="83" t="s">
        <v>106</v>
      </c>
      <c r="L115" s="82" t="s">
        <v>143</v>
      </c>
      <c r="M115" s="50"/>
      <c r="N115" s="83" t="s">
        <v>112</v>
      </c>
      <c r="O115" s="48" t="s">
        <v>144</v>
      </c>
      <c r="T115" s="80"/>
      <c r="U115" s="80"/>
    </row>
    <row r="116">
      <c r="A116" s="62" t="s">
        <v>72</v>
      </c>
      <c r="B116" s="60">
        <v>23.0</v>
      </c>
      <c r="C116" s="60">
        <v>0.0</v>
      </c>
      <c r="D116" s="60">
        <v>4.0</v>
      </c>
      <c r="E116" s="60">
        <v>1.0</v>
      </c>
      <c r="F116" s="60">
        <v>0.0</v>
      </c>
      <c r="G116" s="71">
        <v>3.0</v>
      </c>
      <c r="H116" s="73">
        <f t="shared" si="9"/>
        <v>28</v>
      </c>
      <c r="K116" s="83" t="s">
        <v>116</v>
      </c>
      <c r="L116" s="82" t="s">
        <v>143</v>
      </c>
      <c r="M116" s="50"/>
      <c r="N116" s="83" t="s">
        <v>83</v>
      </c>
      <c r="O116" s="48" t="s">
        <v>144</v>
      </c>
      <c r="T116" s="80"/>
      <c r="U116" s="80"/>
    </row>
    <row r="117">
      <c r="A117" s="24" t="s">
        <v>72</v>
      </c>
      <c r="B117" s="60">
        <v>13.0</v>
      </c>
      <c r="C117" s="60">
        <v>7.0</v>
      </c>
      <c r="D117" s="60">
        <v>7.0</v>
      </c>
      <c r="E117" s="60">
        <v>2.0</v>
      </c>
      <c r="F117" s="60">
        <v>0.0</v>
      </c>
      <c r="G117" s="71">
        <v>3.0</v>
      </c>
      <c r="H117" s="73">
        <f t="shared" si="9"/>
        <v>32.9</v>
      </c>
      <c r="K117" s="83" t="s">
        <v>114</v>
      </c>
      <c r="L117" s="82" t="s">
        <v>143</v>
      </c>
      <c r="M117" s="50"/>
      <c r="N117" s="83" t="s">
        <v>137</v>
      </c>
      <c r="O117" s="48" t="s">
        <v>144</v>
      </c>
      <c r="T117" s="80"/>
      <c r="U117" s="80"/>
    </row>
    <row r="118">
      <c r="A118" s="24" t="s">
        <v>72</v>
      </c>
      <c r="B118" s="60">
        <v>43.0</v>
      </c>
      <c r="C118" s="60">
        <v>5.0</v>
      </c>
      <c r="D118" s="60">
        <v>7.0</v>
      </c>
      <c r="E118" s="60">
        <v>3.0</v>
      </c>
      <c r="F118" s="60">
        <v>1.0</v>
      </c>
      <c r="G118" s="71">
        <v>1.0</v>
      </c>
      <c r="H118" s="73">
        <f t="shared" si="9"/>
        <v>66.5</v>
      </c>
      <c r="K118" s="83" t="s">
        <v>91</v>
      </c>
      <c r="L118" s="82" t="s">
        <v>143</v>
      </c>
      <c r="M118" s="50"/>
      <c r="N118" s="83" t="s">
        <v>123</v>
      </c>
      <c r="O118" s="48" t="s">
        <v>144</v>
      </c>
      <c r="T118" s="80"/>
      <c r="U118" s="80"/>
    </row>
    <row r="119">
      <c r="A119" s="24" t="s">
        <v>90</v>
      </c>
      <c r="B119" s="36">
        <v>32.0</v>
      </c>
      <c r="C119" s="36">
        <v>6.0</v>
      </c>
      <c r="D119" s="36">
        <v>11.0</v>
      </c>
      <c r="E119" s="36">
        <v>0.0</v>
      </c>
      <c r="F119" s="36">
        <v>1.0</v>
      </c>
      <c r="G119" s="74">
        <v>2.0</v>
      </c>
      <c r="H119" s="75">
        <v>55.7</v>
      </c>
      <c r="K119" s="83" t="s">
        <v>58</v>
      </c>
      <c r="L119" s="82" t="s">
        <v>143</v>
      </c>
      <c r="M119" s="50"/>
      <c r="N119" s="83" t="s">
        <v>119</v>
      </c>
      <c r="O119" s="48" t="s">
        <v>144</v>
      </c>
      <c r="T119" s="80"/>
      <c r="U119" s="80"/>
    </row>
    <row r="120">
      <c r="A120" s="62" t="s">
        <v>90</v>
      </c>
      <c r="B120" s="60">
        <v>18.0</v>
      </c>
      <c r="C120" s="60">
        <v>3.0</v>
      </c>
      <c r="D120" s="60">
        <v>7.0</v>
      </c>
      <c r="E120" s="60">
        <v>1.0</v>
      </c>
      <c r="F120" s="60">
        <v>2.0</v>
      </c>
      <c r="G120" s="71">
        <v>4.0</v>
      </c>
      <c r="H120" s="73">
        <f t="shared" ref="H120:H142" si="10">sum(B120+1.2*C120+1.5*D120+2*E120+2*F120)-G120</f>
        <v>34.1</v>
      </c>
      <c r="K120" s="83" t="s">
        <v>45</v>
      </c>
      <c r="L120" s="82" t="s">
        <v>143</v>
      </c>
      <c r="M120" s="50"/>
      <c r="N120" s="83" t="s">
        <v>139</v>
      </c>
      <c r="O120" s="48" t="s">
        <v>144</v>
      </c>
      <c r="T120" s="80"/>
      <c r="U120" s="80"/>
    </row>
    <row r="121">
      <c r="A121" s="24" t="s">
        <v>90</v>
      </c>
      <c r="B121" s="60">
        <v>20.0</v>
      </c>
      <c r="C121" s="60">
        <v>6.0</v>
      </c>
      <c r="D121" s="60">
        <v>9.0</v>
      </c>
      <c r="E121" s="60">
        <v>0.0</v>
      </c>
      <c r="F121" s="60">
        <v>0.0</v>
      </c>
      <c r="G121" s="71">
        <v>1.0</v>
      </c>
      <c r="H121" s="73">
        <f t="shared" si="10"/>
        <v>39.7</v>
      </c>
      <c r="K121" s="83" t="s">
        <v>43</v>
      </c>
      <c r="L121" s="82" t="s">
        <v>143</v>
      </c>
      <c r="M121" s="50"/>
      <c r="N121" s="48" t="s">
        <v>145</v>
      </c>
      <c r="O121" s="48" t="s">
        <v>144</v>
      </c>
      <c r="T121" s="80"/>
      <c r="U121" s="80"/>
    </row>
    <row r="122">
      <c r="A122" s="24" t="s">
        <v>90</v>
      </c>
      <c r="B122" s="60">
        <v>15.0</v>
      </c>
      <c r="C122" s="60">
        <v>4.0</v>
      </c>
      <c r="D122" s="60">
        <v>11.0</v>
      </c>
      <c r="E122" s="60">
        <v>2.0</v>
      </c>
      <c r="F122" s="60">
        <v>2.0</v>
      </c>
      <c r="G122" s="71">
        <v>4.0</v>
      </c>
      <c r="H122" s="73">
        <f t="shared" si="10"/>
        <v>40.3</v>
      </c>
      <c r="K122" s="83" t="s">
        <v>104</v>
      </c>
      <c r="L122" s="82" t="s">
        <v>143</v>
      </c>
      <c r="M122" s="50"/>
      <c r="N122" s="48" t="s">
        <v>146</v>
      </c>
      <c r="O122" s="48" t="s">
        <v>144</v>
      </c>
      <c r="T122" s="80"/>
      <c r="U122" s="80"/>
    </row>
    <row r="123">
      <c r="A123" s="24" t="s">
        <v>90</v>
      </c>
      <c r="B123" s="60">
        <v>11.0</v>
      </c>
      <c r="C123" s="60">
        <v>8.0</v>
      </c>
      <c r="D123" s="60">
        <v>5.0</v>
      </c>
      <c r="E123" s="60">
        <v>2.0</v>
      </c>
      <c r="F123" s="60">
        <v>0.0</v>
      </c>
      <c r="G123" s="71">
        <v>4.0</v>
      </c>
      <c r="H123" s="72">
        <f t="shared" si="10"/>
        <v>28.1</v>
      </c>
      <c r="K123" s="83" t="s">
        <v>46</v>
      </c>
      <c r="L123" s="82" t="s">
        <v>143</v>
      </c>
      <c r="M123" s="50"/>
      <c r="N123" s="48" t="s">
        <v>147</v>
      </c>
      <c r="O123" s="48" t="s">
        <v>144</v>
      </c>
      <c r="T123" s="80"/>
      <c r="U123" s="80"/>
    </row>
    <row r="124">
      <c r="A124" s="67" t="s">
        <v>106</v>
      </c>
      <c r="B124" s="60">
        <v>26.0</v>
      </c>
      <c r="C124" s="60">
        <v>6.0</v>
      </c>
      <c r="D124" s="60">
        <v>0.0</v>
      </c>
      <c r="E124" s="60">
        <v>0.0</v>
      </c>
      <c r="F124" s="60">
        <v>0.0</v>
      </c>
      <c r="G124" s="71">
        <v>0.0</v>
      </c>
      <c r="H124" s="73">
        <f t="shared" si="10"/>
        <v>33.2</v>
      </c>
      <c r="K124" s="83" t="s">
        <v>128</v>
      </c>
      <c r="L124" s="82" t="s">
        <v>143</v>
      </c>
      <c r="M124" s="50"/>
      <c r="N124" s="48" t="s">
        <v>148</v>
      </c>
      <c r="O124" s="48" t="s">
        <v>144</v>
      </c>
      <c r="T124" s="80"/>
      <c r="U124" s="80"/>
    </row>
    <row r="125">
      <c r="A125" s="62" t="s">
        <v>106</v>
      </c>
      <c r="B125" s="60">
        <v>22.0</v>
      </c>
      <c r="C125" s="60">
        <v>7.0</v>
      </c>
      <c r="D125" s="60">
        <v>2.0</v>
      </c>
      <c r="E125" s="60">
        <v>1.0</v>
      </c>
      <c r="F125" s="60">
        <v>1.0</v>
      </c>
      <c r="G125" s="71">
        <v>3.0</v>
      </c>
      <c r="H125" s="73">
        <f t="shared" si="10"/>
        <v>34.4</v>
      </c>
      <c r="K125" s="83" t="s">
        <v>121</v>
      </c>
      <c r="L125" s="82" t="s">
        <v>143</v>
      </c>
      <c r="M125" s="50"/>
      <c r="N125" s="82" t="s">
        <v>129</v>
      </c>
      <c r="O125" s="48" t="s">
        <v>144</v>
      </c>
      <c r="T125" s="80"/>
      <c r="U125" s="80"/>
    </row>
    <row r="126">
      <c r="A126" s="67" t="s">
        <v>106</v>
      </c>
      <c r="B126" s="77">
        <v>12.0</v>
      </c>
      <c r="C126" s="77">
        <v>4.0</v>
      </c>
      <c r="D126" s="77">
        <v>2.0</v>
      </c>
      <c r="E126" s="77">
        <v>2.0</v>
      </c>
      <c r="F126" s="77">
        <v>1.0</v>
      </c>
      <c r="G126" s="78">
        <v>5.0</v>
      </c>
      <c r="H126" s="73">
        <f t="shared" si="10"/>
        <v>20.8</v>
      </c>
      <c r="K126" s="83" t="s">
        <v>82</v>
      </c>
      <c r="L126" s="82" t="s">
        <v>143</v>
      </c>
      <c r="M126" s="50"/>
      <c r="N126" s="82" t="s">
        <v>130</v>
      </c>
      <c r="O126" s="48" t="s">
        <v>144</v>
      </c>
      <c r="T126" s="80"/>
      <c r="U126" s="80"/>
    </row>
    <row r="127">
      <c r="A127" s="62" t="s">
        <v>105</v>
      </c>
      <c r="B127" s="60">
        <v>9.0</v>
      </c>
      <c r="C127" s="60">
        <v>8.0</v>
      </c>
      <c r="D127" s="60">
        <v>1.0</v>
      </c>
      <c r="E127" s="60">
        <v>1.0</v>
      </c>
      <c r="F127" s="60">
        <v>1.0</v>
      </c>
      <c r="G127" s="71">
        <v>2.0</v>
      </c>
      <c r="H127" s="73">
        <f t="shared" si="10"/>
        <v>22.1</v>
      </c>
      <c r="K127" s="83" t="s">
        <v>86</v>
      </c>
      <c r="L127" s="82" t="s">
        <v>143</v>
      </c>
      <c r="M127" s="50"/>
      <c r="N127" s="82" t="s">
        <v>149</v>
      </c>
      <c r="O127" s="48" t="s">
        <v>144</v>
      </c>
      <c r="T127" s="80"/>
      <c r="U127" s="80"/>
    </row>
    <row r="128">
      <c r="A128" s="62" t="s">
        <v>105</v>
      </c>
      <c r="B128" s="60">
        <v>14.0</v>
      </c>
      <c r="C128" s="60">
        <v>12.0</v>
      </c>
      <c r="D128" s="60">
        <v>2.0</v>
      </c>
      <c r="E128" s="60">
        <v>6.0</v>
      </c>
      <c r="F128" s="60">
        <v>0.0</v>
      </c>
      <c r="G128" s="71">
        <v>0.0</v>
      </c>
      <c r="H128" s="73">
        <f t="shared" si="10"/>
        <v>43.4</v>
      </c>
      <c r="K128" s="83" t="s">
        <v>133</v>
      </c>
      <c r="L128" s="82" t="s">
        <v>143</v>
      </c>
      <c r="M128" s="50"/>
      <c r="N128" s="82" t="s">
        <v>150</v>
      </c>
      <c r="O128" s="48" t="s">
        <v>144</v>
      </c>
      <c r="T128" s="80"/>
      <c r="U128" s="80"/>
    </row>
    <row r="129">
      <c r="A129" s="24" t="s">
        <v>98</v>
      </c>
      <c r="B129" s="60">
        <v>16.0</v>
      </c>
      <c r="C129" s="60">
        <v>5.0</v>
      </c>
      <c r="D129" s="60">
        <v>2.0</v>
      </c>
      <c r="E129" s="60">
        <v>2.0</v>
      </c>
      <c r="F129" s="60">
        <v>0.0</v>
      </c>
      <c r="G129" s="71">
        <v>1.0</v>
      </c>
      <c r="H129" s="73">
        <f t="shared" si="10"/>
        <v>28</v>
      </c>
      <c r="K129" s="83" t="s">
        <v>102</v>
      </c>
      <c r="L129" s="82" t="s">
        <v>143</v>
      </c>
      <c r="M129" s="50"/>
      <c r="N129" s="82" t="s">
        <v>151</v>
      </c>
      <c r="O129" s="48" t="s">
        <v>144</v>
      </c>
      <c r="T129" s="80"/>
      <c r="U129" s="80"/>
    </row>
    <row r="130">
      <c r="A130" s="67" t="s">
        <v>98</v>
      </c>
      <c r="B130" s="60">
        <v>36.0</v>
      </c>
      <c r="C130" s="60">
        <v>10.0</v>
      </c>
      <c r="D130" s="60">
        <v>5.0</v>
      </c>
      <c r="E130" s="60">
        <v>1.0</v>
      </c>
      <c r="F130" s="60">
        <v>0.0</v>
      </c>
      <c r="G130" s="71">
        <v>3.0</v>
      </c>
      <c r="H130" s="72">
        <f t="shared" si="10"/>
        <v>54.5</v>
      </c>
      <c r="K130" s="83" t="s">
        <v>126</v>
      </c>
      <c r="L130" s="82" t="s">
        <v>143</v>
      </c>
      <c r="M130" s="50"/>
      <c r="N130" s="82" t="s">
        <v>152</v>
      </c>
      <c r="O130" s="48" t="s">
        <v>144</v>
      </c>
      <c r="T130" s="80"/>
      <c r="U130" s="80"/>
    </row>
    <row r="131">
      <c r="A131" s="67" t="s">
        <v>98</v>
      </c>
      <c r="B131" s="77">
        <v>19.0</v>
      </c>
      <c r="C131" s="77">
        <v>6.0</v>
      </c>
      <c r="D131" s="77">
        <v>1.0</v>
      </c>
      <c r="E131" s="77">
        <v>1.0</v>
      </c>
      <c r="F131" s="77">
        <v>1.0</v>
      </c>
      <c r="G131" s="78">
        <v>6.0</v>
      </c>
      <c r="H131" s="72">
        <f t="shared" si="10"/>
        <v>25.7</v>
      </c>
      <c r="K131" s="83" t="s">
        <v>110</v>
      </c>
      <c r="L131" s="82" t="s">
        <v>143</v>
      </c>
      <c r="M131" s="50"/>
      <c r="N131" s="48" t="s">
        <v>153</v>
      </c>
      <c r="O131" s="48" t="s">
        <v>144</v>
      </c>
      <c r="T131" s="80"/>
      <c r="U131" s="80"/>
    </row>
    <row r="132">
      <c r="A132" s="62" t="s">
        <v>98</v>
      </c>
      <c r="B132" s="60">
        <v>21.0</v>
      </c>
      <c r="C132" s="60">
        <v>11.0</v>
      </c>
      <c r="D132" s="60">
        <v>1.0</v>
      </c>
      <c r="E132" s="60">
        <v>2.0</v>
      </c>
      <c r="F132" s="60">
        <v>0.0</v>
      </c>
      <c r="G132" s="71">
        <v>4.0</v>
      </c>
      <c r="H132" s="73">
        <f t="shared" si="10"/>
        <v>35.7</v>
      </c>
      <c r="K132" s="83" t="s">
        <v>136</v>
      </c>
      <c r="L132" s="82" t="s">
        <v>143</v>
      </c>
      <c r="M132" s="50"/>
      <c r="N132" s="48" t="s">
        <v>154</v>
      </c>
      <c r="O132" s="48" t="s">
        <v>144</v>
      </c>
      <c r="T132" s="80"/>
      <c r="U132" s="80"/>
    </row>
    <row r="133">
      <c r="A133" s="62" t="s">
        <v>98</v>
      </c>
      <c r="B133" s="60">
        <v>23.0</v>
      </c>
      <c r="C133" s="60">
        <v>6.0</v>
      </c>
      <c r="D133" s="60">
        <v>3.0</v>
      </c>
      <c r="E133" s="60">
        <v>0.0</v>
      </c>
      <c r="F133" s="60">
        <v>0.0</v>
      </c>
      <c r="G133" s="71">
        <v>2.0</v>
      </c>
      <c r="H133" s="73">
        <f t="shared" si="10"/>
        <v>32.7</v>
      </c>
      <c r="K133" s="83" t="s">
        <v>95</v>
      </c>
      <c r="L133" s="82" t="s">
        <v>143</v>
      </c>
      <c r="M133" s="50"/>
      <c r="N133" s="48" t="s">
        <v>155</v>
      </c>
      <c r="O133" s="48" t="s">
        <v>144</v>
      </c>
      <c r="T133" s="80"/>
      <c r="U133" s="80"/>
    </row>
    <row r="134">
      <c r="A134" s="62" t="s">
        <v>69</v>
      </c>
      <c r="B134" s="60">
        <v>17.0</v>
      </c>
      <c r="C134" s="60">
        <v>14.0</v>
      </c>
      <c r="D134" s="60">
        <v>4.0</v>
      </c>
      <c r="E134" s="60">
        <v>1.0</v>
      </c>
      <c r="F134" s="60">
        <v>1.0</v>
      </c>
      <c r="G134" s="71">
        <v>0.0</v>
      </c>
      <c r="H134" s="73">
        <f t="shared" si="10"/>
        <v>43.8</v>
      </c>
      <c r="K134" s="83" t="s">
        <v>124</v>
      </c>
      <c r="L134" s="82" t="s">
        <v>143</v>
      </c>
      <c r="M134" s="50"/>
      <c r="N134" s="82" t="s">
        <v>156</v>
      </c>
      <c r="O134" s="48" t="s">
        <v>144</v>
      </c>
      <c r="T134" s="80"/>
      <c r="U134" s="80"/>
    </row>
    <row r="135">
      <c r="A135" s="62" t="s">
        <v>69</v>
      </c>
      <c r="B135" s="60">
        <v>37.0</v>
      </c>
      <c r="C135" s="60">
        <v>14.0</v>
      </c>
      <c r="D135" s="60">
        <v>3.0</v>
      </c>
      <c r="E135" s="60">
        <v>3.0</v>
      </c>
      <c r="F135" s="60">
        <v>0.0</v>
      </c>
      <c r="G135" s="71">
        <v>2.0</v>
      </c>
      <c r="H135" s="73">
        <f t="shared" si="10"/>
        <v>62.3</v>
      </c>
      <c r="K135" s="83" t="s">
        <v>131</v>
      </c>
      <c r="L135" s="82" t="s">
        <v>143</v>
      </c>
      <c r="M135" s="50"/>
      <c r="N135" s="82" t="s">
        <v>43</v>
      </c>
      <c r="O135" s="48" t="s">
        <v>144</v>
      </c>
      <c r="T135" s="80"/>
      <c r="U135" s="80"/>
    </row>
    <row r="136">
      <c r="A136" s="24" t="s">
        <v>69</v>
      </c>
      <c r="B136" s="60">
        <v>35.0</v>
      </c>
      <c r="C136" s="60">
        <v>8.0</v>
      </c>
      <c r="D136" s="60">
        <v>10.0</v>
      </c>
      <c r="E136" s="60">
        <v>1.0</v>
      </c>
      <c r="F136" s="60">
        <v>0.0</v>
      </c>
      <c r="G136" s="71">
        <v>2.0</v>
      </c>
      <c r="H136" s="73">
        <f t="shared" si="10"/>
        <v>59.6</v>
      </c>
      <c r="K136" s="48" t="s">
        <v>122</v>
      </c>
      <c r="L136" s="82" t="s">
        <v>143</v>
      </c>
      <c r="M136" s="50"/>
      <c r="N136" s="82" t="s">
        <v>157</v>
      </c>
      <c r="O136" s="48" t="s">
        <v>144</v>
      </c>
      <c r="T136" s="80"/>
      <c r="U136" s="80"/>
    </row>
    <row r="137">
      <c r="A137" s="67" t="s">
        <v>69</v>
      </c>
      <c r="B137" s="68">
        <v>36.0</v>
      </c>
      <c r="C137" s="68">
        <v>9.0</v>
      </c>
      <c r="D137" s="68">
        <v>4.0</v>
      </c>
      <c r="E137" s="68">
        <v>1.0</v>
      </c>
      <c r="F137" s="68">
        <v>1.0</v>
      </c>
      <c r="G137" s="79">
        <v>7.0</v>
      </c>
      <c r="H137" s="73">
        <f t="shared" si="10"/>
        <v>49.8</v>
      </c>
      <c r="K137" s="48" t="s">
        <v>158</v>
      </c>
      <c r="L137" s="82" t="s">
        <v>143</v>
      </c>
      <c r="M137" s="50"/>
      <c r="N137" s="82" t="s">
        <v>40</v>
      </c>
      <c r="O137" s="48" t="s">
        <v>144</v>
      </c>
      <c r="T137" s="80"/>
      <c r="U137" s="80"/>
    </row>
    <row r="138">
      <c r="A138" s="67" t="s">
        <v>76</v>
      </c>
      <c r="B138" s="60">
        <v>25.0</v>
      </c>
      <c r="C138" s="60">
        <v>7.0</v>
      </c>
      <c r="D138" s="60">
        <v>6.0</v>
      </c>
      <c r="E138" s="60">
        <v>5.0</v>
      </c>
      <c r="F138" s="60">
        <v>0.0</v>
      </c>
      <c r="G138" s="71">
        <v>1.0</v>
      </c>
      <c r="H138" s="72">
        <f t="shared" si="10"/>
        <v>51.4</v>
      </c>
      <c r="K138" s="48" t="s">
        <v>159</v>
      </c>
      <c r="L138" s="82" t="s">
        <v>143</v>
      </c>
      <c r="M138" s="50"/>
      <c r="N138" s="82" t="s">
        <v>160</v>
      </c>
      <c r="O138" s="48" t="s">
        <v>144</v>
      </c>
      <c r="T138" s="80"/>
      <c r="U138" s="80"/>
    </row>
    <row r="139">
      <c r="A139" s="62" t="s">
        <v>76</v>
      </c>
      <c r="B139" s="60">
        <v>3.0</v>
      </c>
      <c r="C139" s="60">
        <v>2.0</v>
      </c>
      <c r="D139" s="60">
        <v>0.0</v>
      </c>
      <c r="E139" s="60">
        <v>0.0</v>
      </c>
      <c r="F139" s="60">
        <v>0.0</v>
      </c>
      <c r="G139" s="71">
        <v>0.0</v>
      </c>
      <c r="H139" s="73">
        <f t="shared" si="10"/>
        <v>5.4</v>
      </c>
      <c r="K139" s="48" t="s">
        <v>161</v>
      </c>
      <c r="L139" s="82" t="s">
        <v>143</v>
      </c>
      <c r="M139" s="50"/>
      <c r="N139" s="82" t="s">
        <v>36</v>
      </c>
      <c r="O139" s="48" t="s">
        <v>144</v>
      </c>
      <c r="T139" s="80"/>
      <c r="U139" s="80"/>
    </row>
    <row r="140">
      <c r="A140" s="62" t="s">
        <v>76</v>
      </c>
      <c r="B140" s="60">
        <v>27.0</v>
      </c>
      <c r="C140" s="60">
        <v>5.0</v>
      </c>
      <c r="D140" s="60">
        <v>6.0</v>
      </c>
      <c r="E140" s="60">
        <v>0.0</v>
      </c>
      <c r="F140" s="60">
        <v>1.0</v>
      </c>
      <c r="G140" s="71">
        <v>1.0</v>
      </c>
      <c r="H140" s="73">
        <f t="shared" si="10"/>
        <v>43</v>
      </c>
      <c r="K140" s="48" t="s">
        <v>162</v>
      </c>
      <c r="L140" s="82" t="s">
        <v>143</v>
      </c>
      <c r="M140" s="50"/>
      <c r="N140" s="82" t="s">
        <v>163</v>
      </c>
      <c r="O140" s="48" t="s">
        <v>144</v>
      </c>
      <c r="T140" s="80"/>
      <c r="U140" s="80"/>
    </row>
    <row r="141">
      <c r="A141" s="76" t="s">
        <v>76</v>
      </c>
      <c r="B141" s="60">
        <v>8.0</v>
      </c>
      <c r="C141" s="60">
        <v>5.0</v>
      </c>
      <c r="D141" s="60">
        <v>2.0</v>
      </c>
      <c r="E141" s="60">
        <v>2.0</v>
      </c>
      <c r="F141" s="60">
        <v>0.0</v>
      </c>
      <c r="G141" s="71">
        <v>0.0</v>
      </c>
      <c r="H141" s="73">
        <f t="shared" si="10"/>
        <v>21</v>
      </c>
      <c r="K141" s="48" t="s">
        <v>164</v>
      </c>
      <c r="L141" s="82" t="s">
        <v>143</v>
      </c>
      <c r="M141" s="50"/>
      <c r="N141" s="82" t="s">
        <v>55</v>
      </c>
      <c r="O141" s="48" t="s">
        <v>144</v>
      </c>
      <c r="T141" s="80"/>
      <c r="U141" s="80"/>
    </row>
    <row r="142">
      <c r="A142" s="67" t="s">
        <v>131</v>
      </c>
      <c r="B142" s="60">
        <v>0.0</v>
      </c>
      <c r="C142" s="60">
        <v>0.0</v>
      </c>
      <c r="D142" s="60">
        <v>0.0</v>
      </c>
      <c r="E142" s="60">
        <v>0.0</v>
      </c>
      <c r="F142" s="60">
        <v>0.0</v>
      </c>
      <c r="G142" s="71">
        <v>0.0</v>
      </c>
      <c r="H142" s="73">
        <f t="shared" si="10"/>
        <v>0</v>
      </c>
      <c r="K142" s="48" t="s">
        <v>135</v>
      </c>
      <c r="L142" s="82" t="s">
        <v>143</v>
      </c>
      <c r="M142" s="50"/>
      <c r="N142" s="82" t="s">
        <v>122</v>
      </c>
      <c r="O142" s="48" t="s">
        <v>144</v>
      </c>
      <c r="T142" s="80"/>
      <c r="U142" s="80"/>
    </row>
    <row r="143">
      <c r="A143" s="24" t="s">
        <v>89</v>
      </c>
      <c r="B143" s="36">
        <v>13.0</v>
      </c>
      <c r="C143" s="36">
        <v>7.0</v>
      </c>
      <c r="D143" s="36">
        <v>6.0</v>
      </c>
      <c r="E143" s="36">
        <v>0.0</v>
      </c>
      <c r="F143" s="36">
        <v>1.0</v>
      </c>
      <c r="G143" s="74">
        <v>2.0</v>
      </c>
      <c r="H143" s="75">
        <v>40.2</v>
      </c>
      <c r="K143" s="48" t="s">
        <v>165</v>
      </c>
      <c r="L143" s="82" t="s">
        <v>143</v>
      </c>
      <c r="M143" s="50"/>
      <c r="N143" s="48" t="s">
        <v>166</v>
      </c>
      <c r="O143" s="48" t="s">
        <v>144</v>
      </c>
      <c r="T143" s="80"/>
      <c r="U143" s="80"/>
    </row>
    <row r="144">
      <c r="A144" s="62" t="s">
        <v>89</v>
      </c>
      <c r="B144" s="60">
        <v>10.0</v>
      </c>
      <c r="C144" s="60">
        <v>7.0</v>
      </c>
      <c r="D144" s="60">
        <v>5.0</v>
      </c>
      <c r="E144" s="60">
        <v>1.0</v>
      </c>
      <c r="F144" s="60">
        <v>0.0</v>
      </c>
      <c r="G144" s="71">
        <v>1.0</v>
      </c>
      <c r="H144" s="73">
        <f t="shared" ref="H144:H146" si="11">sum(B144+1.2*C144+1.5*D144+2*E144+2*F144)-G144</f>
        <v>26.9</v>
      </c>
      <c r="K144" s="83" t="s">
        <v>107</v>
      </c>
      <c r="L144" s="82" t="s">
        <v>143</v>
      </c>
      <c r="M144" s="50"/>
      <c r="N144" s="82" t="s">
        <v>167</v>
      </c>
      <c r="O144" s="48" t="s">
        <v>144</v>
      </c>
      <c r="T144" s="80"/>
      <c r="U144" s="80"/>
    </row>
    <row r="145">
      <c r="A145" s="62" t="s">
        <v>89</v>
      </c>
      <c r="B145" s="60">
        <v>6.0</v>
      </c>
      <c r="C145" s="60">
        <v>11.0</v>
      </c>
      <c r="D145" s="60">
        <v>9.0</v>
      </c>
      <c r="E145" s="60">
        <v>2.0</v>
      </c>
      <c r="F145" s="60">
        <v>1.0</v>
      </c>
      <c r="G145" s="71">
        <v>1.0</v>
      </c>
      <c r="H145" s="73">
        <f t="shared" si="11"/>
        <v>37.7</v>
      </c>
      <c r="K145" s="48" t="s">
        <v>132</v>
      </c>
      <c r="L145" s="82" t="s">
        <v>143</v>
      </c>
      <c r="M145" s="50"/>
      <c r="N145" s="82" t="s">
        <v>168</v>
      </c>
      <c r="O145" s="48" t="s">
        <v>144</v>
      </c>
      <c r="T145" s="80"/>
      <c r="U145" s="80"/>
    </row>
    <row r="146">
      <c r="A146" s="24" t="s">
        <v>89</v>
      </c>
      <c r="B146" s="77">
        <v>15.0</v>
      </c>
      <c r="C146" s="77">
        <v>7.0</v>
      </c>
      <c r="D146" s="77">
        <v>6.0</v>
      </c>
      <c r="E146" s="77">
        <v>2.0</v>
      </c>
      <c r="F146" s="77">
        <v>2.0</v>
      </c>
      <c r="G146" s="78">
        <v>3.0</v>
      </c>
      <c r="H146" s="72">
        <f t="shared" si="11"/>
        <v>37.4</v>
      </c>
      <c r="K146" s="48" t="s">
        <v>120</v>
      </c>
      <c r="L146" s="82" t="s">
        <v>143</v>
      </c>
      <c r="M146" s="50"/>
      <c r="N146" s="82" t="s">
        <v>169</v>
      </c>
      <c r="O146" s="48" t="s">
        <v>144</v>
      </c>
      <c r="T146" s="80"/>
      <c r="U146" s="80"/>
    </row>
    <row r="147">
      <c r="A147" s="24" t="s">
        <v>88</v>
      </c>
      <c r="B147" s="36">
        <v>16.0</v>
      </c>
      <c r="C147" s="36">
        <v>5.0</v>
      </c>
      <c r="D147" s="36">
        <v>5.0</v>
      </c>
      <c r="E147" s="36">
        <v>0.0</v>
      </c>
      <c r="F147" s="36">
        <v>0.0</v>
      </c>
      <c r="G147" s="74">
        <v>7.0</v>
      </c>
      <c r="H147" s="75">
        <v>22.5</v>
      </c>
      <c r="K147" s="48" t="s">
        <v>134</v>
      </c>
      <c r="L147" s="82" t="s">
        <v>143</v>
      </c>
      <c r="M147" s="50"/>
      <c r="N147" s="82" t="s">
        <v>170</v>
      </c>
      <c r="O147" s="48" t="s">
        <v>144</v>
      </c>
      <c r="T147" s="80"/>
      <c r="U147" s="80"/>
    </row>
    <row r="148">
      <c r="A148" s="62" t="s">
        <v>88</v>
      </c>
      <c r="B148" s="60">
        <v>27.0</v>
      </c>
      <c r="C148" s="60">
        <v>4.0</v>
      </c>
      <c r="D148" s="60">
        <v>6.0</v>
      </c>
      <c r="E148" s="60">
        <v>1.0</v>
      </c>
      <c r="F148" s="60">
        <v>1.0</v>
      </c>
      <c r="G148" s="71">
        <v>1.0</v>
      </c>
      <c r="H148" s="73">
        <f t="shared" ref="H148:H151" si="12">sum(B148+1.2*C148+1.5*D148+2*E148+2*F148)-G148</f>
        <v>43.8</v>
      </c>
      <c r="K148" s="48" t="s">
        <v>138</v>
      </c>
      <c r="L148" s="82" t="s">
        <v>143</v>
      </c>
      <c r="M148" s="50"/>
      <c r="N148" s="82" t="s">
        <v>171</v>
      </c>
      <c r="O148" s="48" t="s">
        <v>144</v>
      </c>
      <c r="T148" s="80"/>
      <c r="U148" s="80"/>
    </row>
    <row r="149">
      <c r="A149" s="62" t="s">
        <v>88</v>
      </c>
      <c r="B149" s="60">
        <v>22.0</v>
      </c>
      <c r="C149" s="60">
        <v>5.0</v>
      </c>
      <c r="D149" s="60">
        <v>4.0</v>
      </c>
      <c r="E149" s="60">
        <v>1.0</v>
      </c>
      <c r="F149" s="60">
        <v>0.0</v>
      </c>
      <c r="G149" s="71">
        <v>2.0</v>
      </c>
      <c r="H149" s="73">
        <f t="shared" si="12"/>
        <v>34</v>
      </c>
      <c r="K149" s="48" t="s">
        <v>172</v>
      </c>
      <c r="L149" s="82" t="s">
        <v>143</v>
      </c>
      <c r="M149" s="50"/>
      <c r="N149" s="82" t="s">
        <v>173</v>
      </c>
      <c r="O149" s="48" t="s">
        <v>144</v>
      </c>
      <c r="T149" s="80"/>
      <c r="U149" s="80"/>
    </row>
    <row r="150">
      <c r="A150" s="62" t="s">
        <v>88</v>
      </c>
      <c r="B150" s="60">
        <v>25.0</v>
      </c>
      <c r="C150" s="60">
        <v>7.0</v>
      </c>
      <c r="D150" s="60">
        <v>3.0</v>
      </c>
      <c r="E150" s="60">
        <v>1.0</v>
      </c>
      <c r="F150" s="60">
        <v>0.0</v>
      </c>
      <c r="G150" s="71">
        <v>0.0</v>
      </c>
      <c r="H150" s="73">
        <f t="shared" si="12"/>
        <v>39.9</v>
      </c>
      <c r="K150" s="48" t="s">
        <v>174</v>
      </c>
      <c r="L150" s="82" t="s">
        <v>143</v>
      </c>
      <c r="M150" s="50"/>
      <c r="N150" s="82" t="s">
        <v>175</v>
      </c>
      <c r="O150" s="48" t="s">
        <v>144</v>
      </c>
      <c r="T150" s="80"/>
      <c r="U150" s="80"/>
    </row>
    <row r="151">
      <c r="A151" s="76" t="s">
        <v>88</v>
      </c>
      <c r="B151" s="77">
        <v>23.0</v>
      </c>
      <c r="C151" s="77">
        <v>5.0</v>
      </c>
      <c r="D151" s="77">
        <v>4.0</v>
      </c>
      <c r="E151" s="77">
        <v>1.0</v>
      </c>
      <c r="F151" s="77">
        <v>0.0</v>
      </c>
      <c r="G151" s="78">
        <v>3.0</v>
      </c>
      <c r="H151" s="73">
        <f t="shared" si="12"/>
        <v>34</v>
      </c>
      <c r="K151" s="48" t="s">
        <v>176</v>
      </c>
      <c r="L151" s="82" t="s">
        <v>143</v>
      </c>
      <c r="M151" s="50"/>
      <c r="N151" s="82" t="s">
        <v>177</v>
      </c>
      <c r="O151" s="48" t="s">
        <v>144</v>
      </c>
      <c r="T151" s="80"/>
      <c r="U151" s="80"/>
    </row>
    <row r="152">
      <c r="A152" s="24" t="s">
        <v>70</v>
      </c>
      <c r="B152" s="36">
        <v>23.0</v>
      </c>
      <c r="C152" s="36">
        <v>11.0</v>
      </c>
      <c r="D152" s="36">
        <v>5.0</v>
      </c>
      <c r="E152" s="36">
        <v>4.0</v>
      </c>
      <c r="F152" s="36">
        <v>2.0</v>
      </c>
      <c r="G152" s="74">
        <v>0.0</v>
      </c>
      <c r="H152" s="75">
        <v>55.7</v>
      </c>
      <c r="K152" s="48" t="s">
        <v>178</v>
      </c>
      <c r="L152" s="82" t="s">
        <v>143</v>
      </c>
      <c r="M152" s="50"/>
      <c r="N152" s="82" t="s">
        <v>179</v>
      </c>
      <c r="O152" s="48" t="s">
        <v>144</v>
      </c>
      <c r="T152" s="80"/>
      <c r="U152" s="80"/>
    </row>
    <row r="153">
      <c r="A153" s="24" t="s">
        <v>70</v>
      </c>
      <c r="B153" s="60">
        <v>10.0</v>
      </c>
      <c r="C153" s="60">
        <v>6.0</v>
      </c>
      <c r="D153" s="60">
        <v>0.0</v>
      </c>
      <c r="E153" s="60">
        <v>0.0</v>
      </c>
      <c r="F153" s="60">
        <v>1.0</v>
      </c>
      <c r="G153" s="71">
        <v>0.0</v>
      </c>
      <c r="H153" s="73">
        <f t="shared" ref="H153:H156" si="13">sum(B153+1.2*C153+1.5*D153+2*E153+2*F153)-G153</f>
        <v>19.2</v>
      </c>
      <c r="K153" s="48" t="s">
        <v>180</v>
      </c>
      <c r="L153" s="82" t="s">
        <v>143</v>
      </c>
      <c r="M153" s="50"/>
      <c r="N153" s="82" t="s">
        <v>49</v>
      </c>
      <c r="O153" s="48" t="s">
        <v>144</v>
      </c>
      <c r="T153" s="80"/>
      <c r="U153" s="80"/>
    </row>
    <row r="154">
      <c r="A154" s="62" t="s">
        <v>70</v>
      </c>
      <c r="B154" s="60">
        <v>31.0</v>
      </c>
      <c r="C154" s="60">
        <v>8.0</v>
      </c>
      <c r="D154" s="60">
        <v>1.0</v>
      </c>
      <c r="E154" s="60">
        <v>1.0</v>
      </c>
      <c r="F154" s="60">
        <v>2.0</v>
      </c>
      <c r="G154" s="71">
        <v>2.0</v>
      </c>
      <c r="H154" s="73">
        <f t="shared" si="13"/>
        <v>46.1</v>
      </c>
      <c r="K154" s="48" t="s">
        <v>181</v>
      </c>
      <c r="L154" s="82" t="s">
        <v>143</v>
      </c>
      <c r="M154" s="50"/>
      <c r="N154" s="82" t="s">
        <v>182</v>
      </c>
      <c r="O154" s="48" t="s">
        <v>144</v>
      </c>
      <c r="T154" s="80"/>
      <c r="U154" s="80"/>
    </row>
    <row r="155">
      <c r="A155" s="62" t="s">
        <v>70</v>
      </c>
      <c r="B155" s="60">
        <v>27.0</v>
      </c>
      <c r="C155" s="60">
        <v>9.0</v>
      </c>
      <c r="D155" s="60">
        <v>1.0</v>
      </c>
      <c r="E155" s="60">
        <v>0.0</v>
      </c>
      <c r="F155" s="60">
        <v>1.0</v>
      </c>
      <c r="G155" s="71">
        <v>3.0</v>
      </c>
      <c r="H155" s="73">
        <f t="shared" si="13"/>
        <v>38.3</v>
      </c>
      <c r="K155" s="48" t="s">
        <v>48</v>
      </c>
      <c r="L155" s="82" t="s">
        <v>143</v>
      </c>
      <c r="M155" s="50"/>
      <c r="N155" s="82" t="s">
        <v>183</v>
      </c>
      <c r="O155" s="48" t="s">
        <v>144</v>
      </c>
      <c r="T155" s="80"/>
      <c r="U155" s="80"/>
    </row>
    <row r="156">
      <c r="A156" s="24" t="s">
        <v>70</v>
      </c>
      <c r="B156" s="60">
        <v>17.0</v>
      </c>
      <c r="C156" s="60">
        <v>11.0</v>
      </c>
      <c r="D156" s="60">
        <v>1.0</v>
      </c>
      <c r="E156" s="60">
        <v>0.0</v>
      </c>
      <c r="F156" s="60">
        <v>2.0</v>
      </c>
      <c r="G156" s="71">
        <v>0.0</v>
      </c>
      <c r="H156" s="73">
        <f t="shared" si="13"/>
        <v>35.7</v>
      </c>
      <c r="K156" s="48" t="s">
        <v>184</v>
      </c>
      <c r="L156" s="82" t="s">
        <v>143</v>
      </c>
      <c r="M156" s="50"/>
      <c r="N156" s="82" t="s">
        <v>185</v>
      </c>
      <c r="O156" s="48" t="s">
        <v>144</v>
      </c>
      <c r="T156" s="80"/>
      <c r="U156" s="80"/>
    </row>
    <row r="157">
      <c r="A157" s="24" t="s">
        <v>50</v>
      </c>
      <c r="B157" s="36">
        <v>22.0</v>
      </c>
      <c r="C157" s="36">
        <v>6.0</v>
      </c>
      <c r="D157" s="36">
        <v>2.0</v>
      </c>
      <c r="E157" s="36">
        <v>3.0</v>
      </c>
      <c r="F157" s="36">
        <v>0.0</v>
      </c>
      <c r="G157" s="74">
        <v>7.0</v>
      </c>
      <c r="H157" s="75">
        <v>31.200000000000003</v>
      </c>
      <c r="K157" s="48" t="s">
        <v>42</v>
      </c>
      <c r="L157" s="82" t="s">
        <v>143</v>
      </c>
      <c r="M157" s="50"/>
      <c r="N157" s="82" t="s">
        <v>186</v>
      </c>
      <c r="O157" s="48" t="s">
        <v>144</v>
      </c>
      <c r="T157" s="80"/>
      <c r="U157" s="80"/>
    </row>
    <row r="158">
      <c r="A158" s="62" t="s">
        <v>50</v>
      </c>
      <c r="B158" s="60">
        <v>39.0</v>
      </c>
      <c r="C158" s="60">
        <v>3.0</v>
      </c>
      <c r="D158" s="60">
        <v>5.0</v>
      </c>
      <c r="E158" s="60">
        <v>2.0</v>
      </c>
      <c r="F158" s="60">
        <v>1.0</v>
      </c>
      <c r="G158" s="71">
        <v>1.0</v>
      </c>
      <c r="H158" s="73">
        <f t="shared" ref="H158:H165" si="14">sum(B158+1.2*C158+1.5*D158+2*E158+2*F158)-G158</f>
        <v>55.1</v>
      </c>
      <c r="K158" s="48" t="s">
        <v>39</v>
      </c>
      <c r="L158" s="82" t="s">
        <v>143</v>
      </c>
      <c r="M158" s="50"/>
      <c r="N158" s="82" t="s">
        <v>187</v>
      </c>
      <c r="O158" s="48" t="s">
        <v>144</v>
      </c>
      <c r="T158" s="80"/>
      <c r="U158" s="80"/>
    </row>
    <row r="159">
      <c r="A159" s="67" t="s">
        <v>50</v>
      </c>
      <c r="B159" s="68">
        <v>21.0</v>
      </c>
      <c r="C159" s="68">
        <v>11.0</v>
      </c>
      <c r="D159" s="68">
        <v>6.0</v>
      </c>
      <c r="E159" s="68">
        <v>0.0</v>
      </c>
      <c r="F159" s="68">
        <v>0.0</v>
      </c>
      <c r="G159" s="79">
        <v>2.0</v>
      </c>
      <c r="H159" s="73">
        <f t="shared" si="14"/>
        <v>41.2</v>
      </c>
      <c r="K159" s="48" t="s">
        <v>188</v>
      </c>
      <c r="L159" s="82" t="s">
        <v>143</v>
      </c>
      <c r="M159" s="50"/>
      <c r="N159" s="82" t="s">
        <v>178</v>
      </c>
      <c r="O159" s="48" t="s">
        <v>144</v>
      </c>
      <c r="T159" s="80"/>
      <c r="U159" s="80"/>
    </row>
    <row r="160">
      <c r="A160" s="62" t="s">
        <v>50</v>
      </c>
      <c r="B160" s="60">
        <v>20.0</v>
      </c>
      <c r="C160" s="60">
        <v>9.0</v>
      </c>
      <c r="D160" s="60">
        <v>11.0</v>
      </c>
      <c r="E160" s="60">
        <v>1.0</v>
      </c>
      <c r="F160" s="60">
        <v>2.0</v>
      </c>
      <c r="G160" s="71">
        <v>1.0</v>
      </c>
      <c r="H160" s="73">
        <f t="shared" si="14"/>
        <v>52.3</v>
      </c>
      <c r="K160" s="36" t="s">
        <v>189</v>
      </c>
      <c r="L160" s="82" t="s">
        <v>143</v>
      </c>
      <c r="M160" s="50"/>
      <c r="N160" s="50"/>
      <c r="O160" s="49"/>
      <c r="T160" s="80"/>
      <c r="U160" s="80"/>
    </row>
    <row r="161">
      <c r="A161" s="62" t="s">
        <v>50</v>
      </c>
      <c r="B161" s="77">
        <v>24.0</v>
      </c>
      <c r="C161" s="77">
        <v>9.0</v>
      </c>
      <c r="D161" s="77">
        <v>2.0</v>
      </c>
      <c r="E161" s="77">
        <v>2.0</v>
      </c>
      <c r="F161" s="77">
        <v>0.0</v>
      </c>
      <c r="G161" s="78">
        <v>2.0</v>
      </c>
      <c r="H161" s="72">
        <f t="shared" si="14"/>
        <v>39.8</v>
      </c>
      <c r="K161" s="48" t="s">
        <v>190</v>
      </c>
      <c r="L161" s="82" t="s">
        <v>143</v>
      </c>
      <c r="M161" s="50"/>
      <c r="N161" s="50"/>
      <c r="O161" s="49"/>
      <c r="T161" s="80"/>
      <c r="U161" s="80"/>
    </row>
    <row r="162">
      <c r="A162" s="67" t="s">
        <v>45</v>
      </c>
      <c r="B162" s="60">
        <v>20.0</v>
      </c>
      <c r="C162" s="60">
        <v>10.0</v>
      </c>
      <c r="D162" s="60">
        <v>0.0</v>
      </c>
      <c r="E162" s="60">
        <v>2.0</v>
      </c>
      <c r="F162" s="60">
        <v>2.0</v>
      </c>
      <c r="G162" s="71">
        <v>0.0</v>
      </c>
      <c r="H162" s="73">
        <f t="shared" si="14"/>
        <v>40</v>
      </c>
      <c r="K162" s="48" t="s">
        <v>191</v>
      </c>
      <c r="L162" s="82" t="s">
        <v>143</v>
      </c>
      <c r="M162" s="50"/>
      <c r="N162" s="50"/>
      <c r="O162" s="49"/>
      <c r="T162" s="80"/>
      <c r="U162" s="80"/>
    </row>
    <row r="163">
      <c r="A163" s="62" t="s">
        <v>45</v>
      </c>
      <c r="B163" s="60">
        <v>7.0</v>
      </c>
      <c r="C163" s="60">
        <v>6.0</v>
      </c>
      <c r="D163" s="60">
        <v>1.0</v>
      </c>
      <c r="E163" s="60">
        <v>1.0</v>
      </c>
      <c r="F163" s="60">
        <v>0.0</v>
      </c>
      <c r="G163" s="71">
        <v>2.0</v>
      </c>
      <c r="H163" s="73">
        <f t="shared" si="14"/>
        <v>15.7</v>
      </c>
      <c r="K163" s="48" t="s">
        <v>192</v>
      </c>
      <c r="L163" s="82" t="s">
        <v>143</v>
      </c>
      <c r="M163" s="50"/>
      <c r="N163" s="50"/>
      <c r="O163" s="49"/>
      <c r="T163" s="80"/>
      <c r="U163" s="80"/>
    </row>
    <row r="164">
      <c r="A164" s="62" t="s">
        <v>45</v>
      </c>
      <c r="B164" s="60">
        <v>19.0</v>
      </c>
      <c r="C164" s="60">
        <v>5.0</v>
      </c>
      <c r="D164" s="60">
        <v>1.0</v>
      </c>
      <c r="E164" s="60">
        <v>1.0</v>
      </c>
      <c r="F164" s="60">
        <v>0.0</v>
      </c>
      <c r="G164" s="71">
        <v>1.0</v>
      </c>
      <c r="H164" s="73">
        <f t="shared" si="14"/>
        <v>27.5</v>
      </c>
      <c r="K164" s="48" t="s">
        <v>193</v>
      </c>
      <c r="L164" s="82" t="s">
        <v>143</v>
      </c>
      <c r="M164" s="50"/>
      <c r="N164" s="50"/>
      <c r="O164" s="49"/>
      <c r="T164" s="80"/>
      <c r="U164" s="80"/>
    </row>
    <row r="165">
      <c r="A165" s="67" t="s">
        <v>45</v>
      </c>
      <c r="B165" s="60">
        <v>5.0</v>
      </c>
      <c r="C165" s="60">
        <v>6.0</v>
      </c>
      <c r="D165" s="60">
        <v>2.0</v>
      </c>
      <c r="E165" s="60">
        <v>4.0</v>
      </c>
      <c r="F165" s="60">
        <v>1.0</v>
      </c>
      <c r="G165" s="71">
        <v>2.0</v>
      </c>
      <c r="H165" s="73">
        <f t="shared" si="14"/>
        <v>23.2</v>
      </c>
      <c r="K165" s="48" t="s">
        <v>194</v>
      </c>
      <c r="L165" s="82" t="s">
        <v>143</v>
      </c>
      <c r="M165" s="50"/>
      <c r="N165" s="50"/>
      <c r="O165" s="49"/>
      <c r="T165" s="80"/>
      <c r="U165" s="80"/>
    </row>
    <row r="166">
      <c r="A166" s="24" t="s">
        <v>71</v>
      </c>
      <c r="B166" s="85">
        <v>19.0</v>
      </c>
      <c r="C166" s="85">
        <v>5.0</v>
      </c>
      <c r="D166" s="85">
        <v>3.0</v>
      </c>
      <c r="E166" s="85">
        <v>2.0</v>
      </c>
      <c r="F166" s="85">
        <v>3.0</v>
      </c>
      <c r="G166" s="86">
        <v>4.0</v>
      </c>
      <c r="H166" s="75">
        <v>35.5</v>
      </c>
      <c r="K166" s="48" t="s">
        <v>195</v>
      </c>
      <c r="L166" s="82" t="s">
        <v>143</v>
      </c>
      <c r="M166" s="50"/>
      <c r="N166" s="50"/>
      <c r="O166" s="49"/>
      <c r="T166" s="80"/>
      <c r="U166" s="80"/>
    </row>
    <row r="167">
      <c r="A167" s="24" t="s">
        <v>71</v>
      </c>
      <c r="B167" s="60">
        <v>21.0</v>
      </c>
      <c r="C167" s="60">
        <v>11.0</v>
      </c>
      <c r="D167" s="60">
        <v>7.0</v>
      </c>
      <c r="E167" s="60">
        <v>1.0</v>
      </c>
      <c r="F167" s="60">
        <v>1.0</v>
      </c>
      <c r="G167" s="71">
        <v>2.0</v>
      </c>
      <c r="H167" s="73">
        <f t="shared" ref="H167:H170" si="15">sum(B167+1.2*C167+1.5*D167+2*E167+2*F167)-G167</f>
        <v>46.7</v>
      </c>
      <c r="K167" s="48" t="s">
        <v>33</v>
      </c>
      <c r="L167" s="82" t="s">
        <v>143</v>
      </c>
      <c r="M167" s="50"/>
      <c r="N167" s="50"/>
      <c r="O167" s="49"/>
      <c r="T167" s="80"/>
      <c r="U167" s="80"/>
    </row>
    <row r="168">
      <c r="A168" s="24" t="s">
        <v>71</v>
      </c>
      <c r="B168" s="60">
        <v>38.0</v>
      </c>
      <c r="C168" s="60">
        <v>10.0</v>
      </c>
      <c r="D168" s="60">
        <v>4.0</v>
      </c>
      <c r="E168" s="60">
        <v>2.0</v>
      </c>
      <c r="F168" s="60">
        <v>2.0</v>
      </c>
      <c r="G168" s="71">
        <v>1.0</v>
      </c>
      <c r="H168" s="73">
        <f t="shared" si="15"/>
        <v>63</v>
      </c>
      <c r="K168" s="48" t="s">
        <v>53</v>
      </c>
      <c r="L168" s="82" t="s">
        <v>143</v>
      </c>
      <c r="M168" s="50"/>
      <c r="N168" s="50"/>
      <c r="O168" s="49"/>
      <c r="T168" s="80"/>
      <c r="U168" s="80"/>
    </row>
    <row r="169">
      <c r="A169" s="62" t="s">
        <v>71</v>
      </c>
      <c r="B169" s="60">
        <v>27.0</v>
      </c>
      <c r="C169" s="60">
        <v>12.0</v>
      </c>
      <c r="D169" s="60">
        <v>8.0</v>
      </c>
      <c r="E169" s="60">
        <v>3.0</v>
      </c>
      <c r="F169" s="60">
        <v>3.0</v>
      </c>
      <c r="G169" s="71">
        <v>3.0</v>
      </c>
      <c r="H169" s="73">
        <f t="shared" si="15"/>
        <v>62.4</v>
      </c>
      <c r="K169" s="48" t="s">
        <v>196</v>
      </c>
      <c r="L169" s="82" t="s">
        <v>143</v>
      </c>
      <c r="M169" s="50"/>
      <c r="N169" s="50"/>
      <c r="O169" s="49"/>
      <c r="T169" s="80"/>
      <c r="U169" s="80"/>
    </row>
    <row r="170">
      <c r="A170" s="76" t="s">
        <v>71</v>
      </c>
      <c r="B170" s="60">
        <v>22.0</v>
      </c>
      <c r="C170" s="60">
        <v>7.0</v>
      </c>
      <c r="D170" s="60">
        <v>6.0</v>
      </c>
      <c r="E170" s="60">
        <v>2.0</v>
      </c>
      <c r="F170" s="60">
        <v>0.0</v>
      </c>
      <c r="G170" s="71">
        <v>3.0</v>
      </c>
      <c r="H170" s="73">
        <f t="shared" si="15"/>
        <v>40.4</v>
      </c>
      <c r="K170" s="48" t="s">
        <v>197</v>
      </c>
      <c r="L170" s="82" t="s">
        <v>143</v>
      </c>
      <c r="M170" s="50"/>
      <c r="N170" s="50"/>
      <c r="O170" s="49"/>
      <c r="T170" s="80"/>
      <c r="U170" s="80"/>
    </row>
    <row r="171">
      <c r="A171" s="24" t="s">
        <v>79</v>
      </c>
      <c r="B171" s="36">
        <v>37.0</v>
      </c>
      <c r="C171" s="36">
        <v>8.0</v>
      </c>
      <c r="D171" s="36">
        <v>1.0</v>
      </c>
      <c r="E171" s="36">
        <v>2.0</v>
      </c>
      <c r="F171" s="36">
        <v>0.0</v>
      </c>
      <c r="G171" s="74">
        <v>5.0</v>
      </c>
      <c r="H171" s="75">
        <v>47.1</v>
      </c>
      <c r="K171" s="48" t="s">
        <v>52</v>
      </c>
      <c r="L171" s="82" t="s">
        <v>143</v>
      </c>
      <c r="M171" s="50"/>
      <c r="N171" s="50"/>
      <c r="O171" s="49"/>
      <c r="T171" s="80"/>
      <c r="U171" s="80"/>
    </row>
    <row r="172">
      <c r="A172" s="24" t="s">
        <v>79</v>
      </c>
      <c r="B172" s="60">
        <v>31.0</v>
      </c>
      <c r="C172" s="60">
        <v>12.0</v>
      </c>
      <c r="D172" s="60">
        <v>9.0</v>
      </c>
      <c r="E172" s="60">
        <v>0.0</v>
      </c>
      <c r="F172" s="60">
        <v>1.0</v>
      </c>
      <c r="G172" s="71">
        <v>4.0</v>
      </c>
      <c r="H172" s="72">
        <f t="shared" ref="H172:H183" si="16">sum(B172+1.2*C172+1.5*D172+2*E172+2*F172)-G172</f>
        <v>56.9</v>
      </c>
      <c r="K172" s="48" t="s">
        <v>198</v>
      </c>
      <c r="L172" s="82" t="s">
        <v>143</v>
      </c>
      <c r="M172" s="50"/>
      <c r="N172" s="50"/>
      <c r="O172" s="49"/>
      <c r="T172" s="80"/>
      <c r="U172" s="80"/>
    </row>
    <row r="173">
      <c r="A173" s="24" t="s">
        <v>79</v>
      </c>
      <c r="B173" s="60">
        <v>17.0</v>
      </c>
      <c r="C173" s="60">
        <v>7.0</v>
      </c>
      <c r="D173" s="60">
        <v>8.0</v>
      </c>
      <c r="E173" s="60">
        <v>1.0</v>
      </c>
      <c r="F173" s="60">
        <v>1.0</v>
      </c>
      <c r="G173" s="71">
        <v>5.0</v>
      </c>
      <c r="H173" s="72">
        <f t="shared" si="16"/>
        <v>36.4</v>
      </c>
      <c r="K173" s="48" t="s">
        <v>199</v>
      </c>
      <c r="L173" s="82" t="s">
        <v>143</v>
      </c>
      <c r="M173" s="50"/>
      <c r="N173" s="50"/>
      <c r="O173" s="49"/>
      <c r="P173" s="87"/>
      <c r="T173" s="80"/>
      <c r="U173" s="80"/>
    </row>
    <row r="174">
      <c r="A174" s="62" t="s">
        <v>79</v>
      </c>
      <c r="B174" s="60">
        <v>38.0</v>
      </c>
      <c r="C174" s="60">
        <v>1.0</v>
      </c>
      <c r="D174" s="60">
        <v>2.0</v>
      </c>
      <c r="E174" s="60">
        <v>1.0</v>
      </c>
      <c r="F174" s="60">
        <v>1.0</v>
      </c>
      <c r="G174" s="71">
        <v>4.0</v>
      </c>
      <c r="H174" s="73">
        <f t="shared" si="16"/>
        <v>42.2</v>
      </c>
      <c r="K174" s="48" t="s">
        <v>200</v>
      </c>
      <c r="L174" s="82" t="s">
        <v>143</v>
      </c>
      <c r="M174" s="50"/>
      <c r="N174" s="50"/>
      <c r="O174" s="49"/>
      <c r="P174" s="88"/>
      <c r="T174" s="80"/>
      <c r="U174" s="80"/>
    </row>
    <row r="175">
      <c r="A175" s="36" t="s">
        <v>79</v>
      </c>
      <c r="B175" s="60">
        <v>28.0</v>
      </c>
      <c r="C175" s="60">
        <v>7.0</v>
      </c>
      <c r="D175" s="60">
        <v>9.0</v>
      </c>
      <c r="E175" s="60">
        <v>1.0</v>
      </c>
      <c r="F175" s="60">
        <v>0.0</v>
      </c>
      <c r="G175" s="71">
        <v>2.0</v>
      </c>
      <c r="H175" s="72">
        <f t="shared" si="16"/>
        <v>49.9</v>
      </c>
      <c r="K175" s="48"/>
      <c r="L175" s="50"/>
      <c r="M175" s="50"/>
      <c r="N175" s="50"/>
      <c r="O175" s="49"/>
      <c r="P175" s="87"/>
      <c r="T175" s="80"/>
      <c r="U175" s="80"/>
    </row>
    <row r="176">
      <c r="A176" s="62" t="s">
        <v>137</v>
      </c>
      <c r="B176" s="60">
        <v>9.0</v>
      </c>
      <c r="C176" s="60">
        <v>1.0</v>
      </c>
      <c r="D176" s="60">
        <v>1.0</v>
      </c>
      <c r="E176" s="60">
        <v>0.0</v>
      </c>
      <c r="F176" s="60">
        <v>0.0</v>
      </c>
      <c r="G176" s="71">
        <v>0.0</v>
      </c>
      <c r="H176" s="72">
        <f t="shared" si="16"/>
        <v>11.7</v>
      </c>
      <c r="K176" s="49"/>
      <c r="L176" s="50"/>
      <c r="M176" s="50"/>
      <c r="N176" s="50"/>
      <c r="O176" s="49"/>
      <c r="P176" s="87"/>
      <c r="T176" s="80"/>
      <c r="U176" s="80"/>
    </row>
    <row r="177">
      <c r="A177" s="24" t="s">
        <v>137</v>
      </c>
      <c r="B177" s="60">
        <v>12.0</v>
      </c>
      <c r="C177" s="60">
        <v>2.0</v>
      </c>
      <c r="D177" s="60">
        <v>1.0</v>
      </c>
      <c r="E177" s="60">
        <v>0.0</v>
      </c>
      <c r="F177" s="60">
        <v>0.0</v>
      </c>
      <c r="G177" s="71">
        <v>0.0</v>
      </c>
      <c r="H177" s="72">
        <f t="shared" si="16"/>
        <v>15.9</v>
      </c>
      <c r="K177" s="49"/>
      <c r="L177" s="50"/>
      <c r="M177" s="50"/>
      <c r="N177" s="50"/>
      <c r="O177" s="49"/>
      <c r="P177" s="87"/>
      <c r="T177" s="80"/>
      <c r="U177" s="80"/>
    </row>
    <row r="178">
      <c r="A178" s="62" t="s">
        <v>102</v>
      </c>
      <c r="B178" s="60">
        <v>3.0</v>
      </c>
      <c r="C178" s="60">
        <v>5.0</v>
      </c>
      <c r="D178" s="60">
        <v>4.0</v>
      </c>
      <c r="E178" s="60">
        <v>1.0</v>
      </c>
      <c r="F178" s="60">
        <v>0.0</v>
      </c>
      <c r="G178" s="71">
        <v>2.0</v>
      </c>
      <c r="H178" s="73">
        <f t="shared" si="16"/>
        <v>15</v>
      </c>
      <c r="K178" s="49"/>
      <c r="L178" s="50"/>
      <c r="M178" s="50"/>
      <c r="N178" s="50"/>
      <c r="O178" s="49"/>
      <c r="P178" s="87"/>
      <c r="T178" s="80"/>
      <c r="U178" s="80"/>
    </row>
    <row r="179">
      <c r="A179" s="67" t="s">
        <v>85</v>
      </c>
      <c r="B179" s="60">
        <v>15.0</v>
      </c>
      <c r="C179" s="60">
        <v>15.0</v>
      </c>
      <c r="D179" s="60">
        <v>1.0</v>
      </c>
      <c r="E179" s="60">
        <v>1.0</v>
      </c>
      <c r="F179" s="60">
        <v>0.0</v>
      </c>
      <c r="G179" s="71">
        <v>3.0</v>
      </c>
      <c r="H179" s="73">
        <f t="shared" si="16"/>
        <v>33.5</v>
      </c>
      <c r="K179" s="49"/>
      <c r="L179" s="50"/>
      <c r="M179" s="50"/>
      <c r="N179" s="50"/>
      <c r="O179" s="49"/>
      <c r="P179" s="87"/>
      <c r="T179" s="80"/>
      <c r="U179" s="80"/>
    </row>
    <row r="180">
      <c r="A180" s="62" t="s">
        <v>100</v>
      </c>
      <c r="B180" s="60">
        <v>19.0</v>
      </c>
      <c r="C180" s="60">
        <v>5.0</v>
      </c>
      <c r="D180" s="60">
        <v>0.0</v>
      </c>
      <c r="E180" s="60">
        <v>3.0</v>
      </c>
      <c r="F180" s="60">
        <v>0.0</v>
      </c>
      <c r="G180" s="71">
        <v>1.0</v>
      </c>
      <c r="H180" s="73">
        <f t="shared" si="16"/>
        <v>30</v>
      </c>
      <c r="K180" s="49"/>
      <c r="L180" s="50"/>
      <c r="M180" s="50"/>
      <c r="N180" s="50"/>
      <c r="O180" s="49"/>
      <c r="P180" s="87"/>
      <c r="T180" s="80"/>
      <c r="U180" s="80"/>
    </row>
    <row r="181">
      <c r="A181" s="62" t="s">
        <v>100</v>
      </c>
      <c r="B181" s="77">
        <v>20.0</v>
      </c>
      <c r="C181" s="77">
        <v>7.0</v>
      </c>
      <c r="D181" s="77">
        <v>3.0</v>
      </c>
      <c r="E181" s="77">
        <v>3.0</v>
      </c>
      <c r="F181" s="77">
        <v>2.0</v>
      </c>
      <c r="G181" s="78">
        <v>3.0</v>
      </c>
      <c r="H181" s="73">
        <f t="shared" si="16"/>
        <v>39.9</v>
      </c>
      <c r="K181" s="49"/>
      <c r="L181" s="50"/>
      <c r="M181" s="50"/>
      <c r="N181" s="50"/>
      <c r="O181" s="49"/>
      <c r="P181" s="87"/>
      <c r="T181" s="80"/>
      <c r="U181" s="80"/>
    </row>
    <row r="182">
      <c r="A182" s="24" t="s">
        <v>100</v>
      </c>
      <c r="B182" s="60">
        <v>8.0</v>
      </c>
      <c r="C182" s="60">
        <v>6.0</v>
      </c>
      <c r="D182" s="60">
        <v>1.0</v>
      </c>
      <c r="E182" s="60">
        <v>3.0</v>
      </c>
      <c r="F182" s="60">
        <v>1.0</v>
      </c>
      <c r="G182" s="71">
        <v>1.0</v>
      </c>
      <c r="H182" s="72">
        <f t="shared" si="16"/>
        <v>23.7</v>
      </c>
      <c r="K182" s="49"/>
      <c r="L182" s="50"/>
      <c r="M182" s="50"/>
      <c r="N182" s="50"/>
      <c r="O182" s="49"/>
      <c r="P182" s="87"/>
      <c r="T182" s="80"/>
      <c r="U182" s="80"/>
    </row>
    <row r="183">
      <c r="A183" s="62" t="s">
        <v>100</v>
      </c>
      <c r="B183" s="60">
        <v>17.0</v>
      </c>
      <c r="C183" s="60">
        <v>6.0</v>
      </c>
      <c r="D183" s="60">
        <v>2.0</v>
      </c>
      <c r="E183" s="60">
        <v>0.0</v>
      </c>
      <c r="F183" s="60">
        <v>1.0</v>
      </c>
      <c r="G183" s="71">
        <v>2.0</v>
      </c>
      <c r="H183" s="73">
        <f t="shared" si="16"/>
        <v>27.2</v>
      </c>
      <c r="K183" s="49"/>
      <c r="L183" s="50"/>
      <c r="M183" s="50"/>
      <c r="N183" s="50"/>
      <c r="O183" s="49"/>
      <c r="P183" s="88"/>
      <c r="T183" s="80"/>
      <c r="U183" s="80"/>
    </row>
    <row r="184">
      <c r="A184" s="24" t="s">
        <v>114</v>
      </c>
      <c r="B184" s="36">
        <v>19.0</v>
      </c>
      <c r="C184" s="36">
        <v>5.0</v>
      </c>
      <c r="D184" s="36">
        <v>2.0</v>
      </c>
      <c r="E184" s="36">
        <v>1.0</v>
      </c>
      <c r="F184" s="36">
        <v>4.0</v>
      </c>
      <c r="G184" s="74">
        <v>0.0</v>
      </c>
      <c r="H184" s="75">
        <v>38.0</v>
      </c>
      <c r="K184" s="49"/>
      <c r="L184" s="50"/>
      <c r="M184" s="50"/>
      <c r="N184" s="50"/>
      <c r="O184" s="49"/>
      <c r="P184" s="87"/>
      <c r="T184" s="80"/>
      <c r="U184" s="80"/>
    </row>
    <row r="185">
      <c r="A185" s="24" t="s">
        <v>114</v>
      </c>
      <c r="B185" s="60">
        <v>15.0</v>
      </c>
      <c r="C185" s="60">
        <v>2.0</v>
      </c>
      <c r="D185" s="60">
        <v>1.0</v>
      </c>
      <c r="E185" s="60">
        <v>1.0</v>
      </c>
      <c r="F185" s="60">
        <v>2.0</v>
      </c>
      <c r="G185" s="71">
        <v>0.0</v>
      </c>
      <c r="H185" s="73">
        <f t="shared" ref="H185:H190" si="17">sum(B185+1.2*C185+1.5*D185+2*E185+2*F185)-G185</f>
        <v>24.9</v>
      </c>
      <c r="K185" s="49"/>
      <c r="L185" s="50"/>
      <c r="M185" s="50"/>
      <c r="N185" s="50"/>
      <c r="O185" s="49"/>
      <c r="P185" s="88"/>
      <c r="T185" s="80"/>
      <c r="U185" s="80"/>
    </row>
    <row r="186">
      <c r="A186" s="62" t="s">
        <v>114</v>
      </c>
      <c r="B186" s="77">
        <v>6.0</v>
      </c>
      <c r="C186" s="77">
        <v>3.0</v>
      </c>
      <c r="D186" s="77">
        <v>2.0</v>
      </c>
      <c r="E186" s="77">
        <v>0.0</v>
      </c>
      <c r="F186" s="77">
        <v>1.0</v>
      </c>
      <c r="G186" s="78">
        <v>4.0</v>
      </c>
      <c r="H186" s="73">
        <f t="shared" si="17"/>
        <v>10.6</v>
      </c>
      <c r="K186" s="49"/>
      <c r="L186" s="50"/>
      <c r="M186" s="50"/>
      <c r="N186" s="50"/>
      <c r="O186" s="49"/>
      <c r="P186" s="87"/>
      <c r="T186" s="80"/>
      <c r="U186" s="80"/>
    </row>
    <row r="187">
      <c r="A187" s="24" t="s">
        <v>114</v>
      </c>
      <c r="B187" s="60">
        <v>23.0</v>
      </c>
      <c r="C187" s="60">
        <v>5.0</v>
      </c>
      <c r="D187" s="60">
        <v>3.0</v>
      </c>
      <c r="E187" s="60">
        <v>0.0</v>
      </c>
      <c r="F187" s="60">
        <v>4.0</v>
      </c>
      <c r="G187" s="71">
        <v>0.0</v>
      </c>
      <c r="H187" s="72">
        <f t="shared" si="17"/>
        <v>41.5</v>
      </c>
      <c r="K187" s="49"/>
      <c r="L187" s="50"/>
      <c r="M187" s="50"/>
      <c r="N187" s="50"/>
      <c r="O187" s="49"/>
      <c r="P187" s="87"/>
      <c r="T187" s="80"/>
      <c r="U187" s="80"/>
    </row>
    <row r="188">
      <c r="A188" s="62" t="s">
        <v>133</v>
      </c>
      <c r="B188" s="60">
        <v>9.0</v>
      </c>
      <c r="C188" s="60">
        <v>2.0</v>
      </c>
      <c r="D188" s="60">
        <v>1.0</v>
      </c>
      <c r="E188" s="60">
        <v>3.0</v>
      </c>
      <c r="F188" s="60">
        <v>0.0</v>
      </c>
      <c r="G188" s="71">
        <v>3.0</v>
      </c>
      <c r="H188" s="73">
        <f t="shared" si="17"/>
        <v>15.9</v>
      </c>
      <c r="K188" s="49"/>
      <c r="L188" s="50"/>
      <c r="M188" s="50"/>
      <c r="N188" s="50"/>
      <c r="O188" s="49"/>
      <c r="P188" s="87"/>
      <c r="T188" s="80"/>
      <c r="U188" s="80"/>
    </row>
    <row r="189">
      <c r="A189" s="24" t="s">
        <v>133</v>
      </c>
      <c r="B189" s="60">
        <v>11.0</v>
      </c>
      <c r="C189" s="60">
        <v>6.0</v>
      </c>
      <c r="D189" s="60">
        <v>0.0</v>
      </c>
      <c r="E189" s="60">
        <v>0.0</v>
      </c>
      <c r="F189" s="60">
        <v>0.0</v>
      </c>
      <c r="G189" s="71">
        <v>0.0</v>
      </c>
      <c r="H189" s="72">
        <f t="shared" si="17"/>
        <v>18.2</v>
      </c>
      <c r="K189" s="49"/>
      <c r="L189" s="50"/>
      <c r="M189" s="50"/>
      <c r="N189" s="50"/>
      <c r="O189" s="49"/>
      <c r="P189" s="88"/>
      <c r="T189" s="80"/>
      <c r="U189" s="80"/>
    </row>
    <row r="190">
      <c r="A190" s="70" t="s">
        <v>133</v>
      </c>
      <c r="B190" s="60">
        <v>3.0</v>
      </c>
      <c r="C190" s="60">
        <v>2.0</v>
      </c>
      <c r="D190" s="60">
        <v>2.0</v>
      </c>
      <c r="E190" s="60">
        <v>0.0</v>
      </c>
      <c r="F190" s="60">
        <v>3.0</v>
      </c>
      <c r="G190" s="71">
        <v>1.0</v>
      </c>
      <c r="H190" s="73">
        <f t="shared" si="17"/>
        <v>13.4</v>
      </c>
      <c r="K190" s="49"/>
      <c r="L190" s="50"/>
      <c r="M190" s="50"/>
      <c r="N190" s="50"/>
      <c r="O190" s="49"/>
      <c r="P190" s="87"/>
      <c r="T190" s="80"/>
      <c r="U190" s="80"/>
    </row>
    <row r="191">
      <c r="A191" s="24" t="s">
        <v>66</v>
      </c>
      <c r="B191" s="36">
        <v>29.0</v>
      </c>
      <c r="C191" s="36">
        <v>9.0</v>
      </c>
      <c r="D191" s="36">
        <v>12.0</v>
      </c>
      <c r="E191" s="36">
        <v>3.0</v>
      </c>
      <c r="F191" s="36">
        <v>1.0</v>
      </c>
      <c r="G191" s="74">
        <v>2.0</v>
      </c>
      <c r="H191" s="75">
        <v>63.8</v>
      </c>
      <c r="K191" s="49"/>
      <c r="L191" s="50"/>
      <c r="M191" s="50"/>
      <c r="N191" s="50"/>
      <c r="O191" s="49"/>
      <c r="P191" s="87"/>
      <c r="T191" s="80"/>
      <c r="U191" s="80"/>
    </row>
    <row r="192">
      <c r="A192" s="67" t="s">
        <v>66</v>
      </c>
      <c r="B192" s="60">
        <v>26.0</v>
      </c>
      <c r="C192" s="60">
        <v>12.0</v>
      </c>
      <c r="D192" s="60">
        <v>10.0</v>
      </c>
      <c r="E192" s="60">
        <v>3.0</v>
      </c>
      <c r="F192" s="60">
        <v>0.0</v>
      </c>
      <c r="G192" s="71">
        <v>7.0</v>
      </c>
      <c r="H192" s="72">
        <f t="shared" ref="H192:H201" si="18">sum(B192+1.2*C192+1.5*D192+2*E192+2*F192)-G192</f>
        <v>54.4</v>
      </c>
      <c r="K192" s="49"/>
      <c r="L192" s="50"/>
      <c r="M192" s="50"/>
      <c r="N192" s="50"/>
      <c r="O192" s="49"/>
      <c r="P192" s="87"/>
      <c r="T192" s="80"/>
      <c r="U192" s="80"/>
    </row>
    <row r="193">
      <c r="A193" s="67" t="s">
        <v>66</v>
      </c>
      <c r="B193" s="60">
        <v>23.0</v>
      </c>
      <c r="C193" s="60">
        <v>13.0</v>
      </c>
      <c r="D193" s="60">
        <v>13.0</v>
      </c>
      <c r="E193" s="60">
        <v>1.0</v>
      </c>
      <c r="F193" s="60">
        <v>0.0</v>
      </c>
      <c r="G193" s="71">
        <v>2.0</v>
      </c>
      <c r="H193" s="72">
        <f t="shared" si="18"/>
        <v>58.1</v>
      </c>
      <c r="K193" s="49"/>
      <c r="L193" s="50"/>
      <c r="M193" s="50"/>
      <c r="N193" s="50"/>
      <c r="O193" s="49"/>
      <c r="P193" s="87"/>
      <c r="T193" s="80"/>
      <c r="U193" s="80"/>
    </row>
    <row r="194">
      <c r="A194" s="67" t="s">
        <v>66</v>
      </c>
      <c r="B194" s="60">
        <v>13.0</v>
      </c>
      <c r="C194" s="60">
        <v>10.0</v>
      </c>
      <c r="D194" s="60">
        <v>12.0</v>
      </c>
      <c r="E194" s="60">
        <v>1.0</v>
      </c>
      <c r="F194" s="60">
        <v>2.0</v>
      </c>
      <c r="G194" s="71">
        <v>2.0</v>
      </c>
      <c r="H194" s="72">
        <f t="shared" si="18"/>
        <v>47</v>
      </c>
      <c r="K194" s="49"/>
      <c r="L194" s="50"/>
      <c r="M194" s="50"/>
      <c r="N194" s="50"/>
      <c r="O194" s="49"/>
      <c r="P194" s="87"/>
      <c r="T194" s="80"/>
      <c r="U194" s="80"/>
    </row>
    <row r="195">
      <c r="A195" s="67" t="s">
        <v>66</v>
      </c>
      <c r="B195" s="60">
        <v>36.0</v>
      </c>
      <c r="C195" s="60">
        <v>21.0</v>
      </c>
      <c r="D195" s="60">
        <v>8.0</v>
      </c>
      <c r="E195" s="60">
        <v>2.0</v>
      </c>
      <c r="F195" s="60">
        <v>1.0</v>
      </c>
      <c r="G195" s="71">
        <v>2.0</v>
      </c>
      <c r="H195" s="72">
        <f t="shared" si="18"/>
        <v>77.2</v>
      </c>
      <c r="K195" s="49"/>
      <c r="L195" s="50"/>
      <c r="M195" s="50"/>
      <c r="N195" s="50"/>
      <c r="O195" s="49"/>
      <c r="P195" s="88"/>
      <c r="T195" s="80"/>
      <c r="U195" s="80"/>
    </row>
    <row r="196">
      <c r="A196" s="62" t="s">
        <v>82</v>
      </c>
      <c r="B196" s="60">
        <v>10.0</v>
      </c>
      <c r="C196" s="60">
        <v>5.0</v>
      </c>
      <c r="D196" s="60">
        <v>2.0</v>
      </c>
      <c r="E196" s="60">
        <v>2.0</v>
      </c>
      <c r="F196" s="60">
        <v>0.0</v>
      </c>
      <c r="G196" s="71">
        <v>2.0</v>
      </c>
      <c r="H196" s="72">
        <f t="shared" si="18"/>
        <v>21</v>
      </c>
      <c r="K196" s="49"/>
      <c r="L196" s="50"/>
      <c r="M196" s="50"/>
      <c r="N196" s="50"/>
      <c r="O196" s="49"/>
      <c r="P196" s="87"/>
      <c r="T196" s="80"/>
      <c r="U196" s="80"/>
    </row>
    <row r="197">
      <c r="A197" s="62" t="s">
        <v>51</v>
      </c>
      <c r="B197" s="60">
        <v>36.0</v>
      </c>
      <c r="C197" s="60">
        <v>11.0</v>
      </c>
      <c r="D197" s="60">
        <v>4.0</v>
      </c>
      <c r="E197" s="60">
        <v>1.0</v>
      </c>
      <c r="F197" s="60">
        <v>1.0</v>
      </c>
      <c r="G197" s="71">
        <v>4.0</v>
      </c>
      <c r="H197" s="73">
        <f t="shared" si="18"/>
        <v>55.2</v>
      </c>
      <c r="K197" s="49"/>
      <c r="L197" s="50"/>
      <c r="M197" s="50"/>
      <c r="N197" s="50"/>
      <c r="O197" s="49"/>
      <c r="P197" s="87"/>
      <c r="T197" s="80"/>
      <c r="U197" s="80"/>
    </row>
    <row r="198">
      <c r="A198" s="62" t="s">
        <v>51</v>
      </c>
      <c r="B198" s="60">
        <v>32.0</v>
      </c>
      <c r="C198" s="60">
        <v>9.0</v>
      </c>
      <c r="D198" s="60">
        <v>7.0</v>
      </c>
      <c r="E198" s="60">
        <v>0.0</v>
      </c>
      <c r="F198" s="60">
        <v>2.0</v>
      </c>
      <c r="G198" s="71">
        <v>0.0</v>
      </c>
      <c r="H198" s="73">
        <f t="shared" si="18"/>
        <v>57.3</v>
      </c>
      <c r="K198" s="49"/>
      <c r="L198" s="50"/>
      <c r="M198" s="50"/>
      <c r="N198" s="50"/>
      <c r="O198" s="49"/>
      <c r="P198" s="87"/>
      <c r="T198" s="80"/>
      <c r="U198" s="80"/>
    </row>
    <row r="199">
      <c r="A199" s="62" t="s">
        <v>51</v>
      </c>
      <c r="B199" s="60">
        <v>29.0</v>
      </c>
      <c r="C199" s="60">
        <v>6.0</v>
      </c>
      <c r="D199" s="60">
        <v>1.0</v>
      </c>
      <c r="E199" s="60">
        <v>2.0</v>
      </c>
      <c r="F199" s="60">
        <v>0.0</v>
      </c>
      <c r="G199" s="71">
        <v>4.0</v>
      </c>
      <c r="H199" s="73">
        <f t="shared" si="18"/>
        <v>37.7</v>
      </c>
      <c r="K199" s="49"/>
      <c r="L199" s="50"/>
      <c r="M199" s="50"/>
      <c r="N199" s="50"/>
      <c r="O199" s="49"/>
      <c r="P199" s="87"/>
      <c r="T199" s="80"/>
      <c r="U199" s="80"/>
    </row>
    <row r="200">
      <c r="A200" s="24" t="s">
        <v>51</v>
      </c>
      <c r="B200" s="60">
        <v>31.0</v>
      </c>
      <c r="C200" s="60">
        <v>7.0</v>
      </c>
      <c r="D200" s="60">
        <v>3.0</v>
      </c>
      <c r="E200" s="60">
        <v>0.0</v>
      </c>
      <c r="F200" s="60">
        <v>1.0</v>
      </c>
      <c r="G200" s="71">
        <v>4.0</v>
      </c>
      <c r="H200" s="73">
        <f t="shared" si="18"/>
        <v>41.9</v>
      </c>
      <c r="K200" s="49"/>
      <c r="L200" s="50"/>
      <c r="M200" s="50"/>
      <c r="N200" s="50"/>
      <c r="O200" s="49"/>
      <c r="P200" s="87"/>
      <c r="T200" s="80"/>
      <c r="U200" s="80"/>
    </row>
    <row r="201">
      <c r="A201" s="62" t="s">
        <v>51</v>
      </c>
      <c r="B201" s="77">
        <v>19.0</v>
      </c>
      <c r="C201" s="77">
        <v>9.0</v>
      </c>
      <c r="D201" s="77">
        <v>6.0</v>
      </c>
      <c r="E201" s="77">
        <v>0.0</v>
      </c>
      <c r="F201" s="77">
        <v>0.0</v>
      </c>
      <c r="G201" s="78">
        <v>3.0</v>
      </c>
      <c r="H201" s="73">
        <f t="shared" si="18"/>
        <v>35.8</v>
      </c>
      <c r="K201" s="49"/>
      <c r="L201" s="50"/>
      <c r="M201" s="50"/>
      <c r="N201" s="50"/>
      <c r="O201" s="49"/>
      <c r="P201" s="87"/>
      <c r="T201" s="80"/>
      <c r="U201" s="80"/>
    </row>
    <row r="202">
      <c r="A202" s="24" t="s">
        <v>111</v>
      </c>
      <c r="B202" s="36">
        <v>25.0</v>
      </c>
      <c r="C202" s="36">
        <v>7.0</v>
      </c>
      <c r="D202" s="36">
        <v>1.0</v>
      </c>
      <c r="E202" s="36">
        <v>1.0</v>
      </c>
      <c r="F202" s="36">
        <v>1.0</v>
      </c>
      <c r="G202" s="74">
        <v>1.0</v>
      </c>
      <c r="H202" s="75">
        <v>37.9</v>
      </c>
      <c r="K202" s="49"/>
      <c r="L202" s="50"/>
      <c r="M202" s="50"/>
      <c r="N202" s="50"/>
      <c r="O202" s="49"/>
      <c r="P202" s="87"/>
      <c r="T202" s="80"/>
      <c r="U202" s="80"/>
    </row>
    <row r="203">
      <c r="A203" s="62" t="s">
        <v>111</v>
      </c>
      <c r="B203" s="60">
        <v>24.0</v>
      </c>
      <c r="C203" s="60">
        <v>11.0</v>
      </c>
      <c r="D203" s="60">
        <v>3.0</v>
      </c>
      <c r="E203" s="60">
        <v>3.0</v>
      </c>
      <c r="F203" s="60">
        <v>0.0</v>
      </c>
      <c r="G203" s="71">
        <v>2.0</v>
      </c>
      <c r="H203" s="73">
        <f t="shared" ref="H203:H231" si="19">sum(B203+1.2*C203+1.5*D203+2*E203+2*F203)-G203</f>
        <v>45.7</v>
      </c>
      <c r="K203" s="49"/>
      <c r="L203" s="50"/>
      <c r="M203" s="50"/>
      <c r="N203" s="50"/>
      <c r="O203" s="49"/>
      <c r="P203" s="87"/>
      <c r="T203" s="80"/>
      <c r="U203" s="80"/>
    </row>
    <row r="204">
      <c r="A204" s="62" t="s">
        <v>111</v>
      </c>
      <c r="B204" s="60">
        <v>28.0</v>
      </c>
      <c r="C204" s="60">
        <v>5.0</v>
      </c>
      <c r="D204" s="60">
        <v>2.0</v>
      </c>
      <c r="E204" s="60">
        <v>2.0</v>
      </c>
      <c r="F204" s="60">
        <v>0.0</v>
      </c>
      <c r="G204" s="71">
        <v>0.0</v>
      </c>
      <c r="H204" s="73">
        <f t="shared" si="19"/>
        <v>41</v>
      </c>
      <c r="K204" s="49"/>
      <c r="L204" s="50"/>
      <c r="M204" s="50"/>
      <c r="N204" s="50"/>
      <c r="O204" s="49"/>
      <c r="P204" s="87"/>
      <c r="T204" s="80"/>
      <c r="U204" s="80"/>
    </row>
    <row r="205">
      <c r="A205" s="67" t="s">
        <v>111</v>
      </c>
      <c r="B205" s="60">
        <v>12.0</v>
      </c>
      <c r="C205" s="60">
        <v>3.0</v>
      </c>
      <c r="D205" s="60">
        <v>4.0</v>
      </c>
      <c r="E205" s="60">
        <v>0.0</v>
      </c>
      <c r="F205" s="60">
        <v>1.0</v>
      </c>
      <c r="G205" s="71">
        <v>1.0</v>
      </c>
      <c r="H205" s="73">
        <f t="shared" si="19"/>
        <v>22.6</v>
      </c>
      <c r="K205" s="49"/>
      <c r="L205" s="50"/>
      <c r="M205" s="50"/>
      <c r="N205" s="50"/>
      <c r="O205" s="49"/>
      <c r="P205" s="87"/>
      <c r="T205" s="80"/>
      <c r="U205" s="80"/>
    </row>
    <row r="206">
      <c r="A206" s="67" t="s">
        <v>111</v>
      </c>
      <c r="B206" s="77">
        <v>10.0</v>
      </c>
      <c r="C206" s="77">
        <v>4.0</v>
      </c>
      <c r="D206" s="77">
        <v>1.0</v>
      </c>
      <c r="E206" s="77">
        <v>0.0</v>
      </c>
      <c r="F206" s="77">
        <v>0.0</v>
      </c>
      <c r="G206" s="78">
        <v>2.0</v>
      </c>
      <c r="H206" s="73">
        <f t="shared" si="19"/>
        <v>14.3</v>
      </c>
      <c r="K206" s="49"/>
      <c r="L206" s="50"/>
      <c r="M206" s="50"/>
      <c r="N206" s="50"/>
      <c r="O206" s="49"/>
      <c r="P206" s="88"/>
      <c r="T206" s="80"/>
      <c r="U206" s="80"/>
    </row>
    <row r="207">
      <c r="A207" s="24" t="s">
        <v>119</v>
      </c>
      <c r="B207" s="60">
        <v>14.0</v>
      </c>
      <c r="C207" s="60">
        <v>3.0</v>
      </c>
      <c r="D207" s="60">
        <v>0.0</v>
      </c>
      <c r="E207" s="60">
        <v>1.0</v>
      </c>
      <c r="F207" s="60">
        <v>0.0</v>
      </c>
      <c r="G207" s="71">
        <v>1.0</v>
      </c>
      <c r="H207" s="73">
        <f t="shared" si="19"/>
        <v>18.6</v>
      </c>
      <c r="K207" s="49"/>
      <c r="L207" s="50"/>
      <c r="M207" s="50"/>
      <c r="N207" s="50"/>
      <c r="O207" s="49"/>
      <c r="P207" s="87"/>
      <c r="T207" s="80"/>
      <c r="U207" s="80"/>
    </row>
    <row r="208">
      <c r="A208" s="24" t="s">
        <v>119</v>
      </c>
      <c r="B208" s="60">
        <v>3.0</v>
      </c>
      <c r="C208" s="60">
        <v>1.0</v>
      </c>
      <c r="D208" s="60">
        <v>0.0</v>
      </c>
      <c r="E208" s="60">
        <v>2.0</v>
      </c>
      <c r="F208" s="60">
        <v>0.0</v>
      </c>
      <c r="G208" s="71">
        <v>3.0</v>
      </c>
      <c r="H208" s="73">
        <f t="shared" si="19"/>
        <v>5.2</v>
      </c>
      <c r="K208" s="49"/>
      <c r="L208" s="50"/>
      <c r="M208" s="50"/>
      <c r="N208" s="50"/>
      <c r="O208" s="49"/>
      <c r="P208" s="87"/>
      <c r="T208" s="80"/>
      <c r="U208" s="80"/>
    </row>
    <row r="209">
      <c r="A209" s="67" t="s">
        <v>81</v>
      </c>
      <c r="B209" s="89">
        <v>6.0</v>
      </c>
      <c r="C209" s="89">
        <v>6.0</v>
      </c>
      <c r="D209" s="89">
        <v>0.0</v>
      </c>
      <c r="E209" s="89">
        <v>2.0</v>
      </c>
      <c r="F209" s="89">
        <v>0.0</v>
      </c>
      <c r="G209" s="90">
        <v>0.0</v>
      </c>
      <c r="H209" s="73">
        <f t="shared" si="19"/>
        <v>17.2</v>
      </c>
      <c r="K209" s="49"/>
      <c r="L209" s="50"/>
      <c r="M209" s="50"/>
      <c r="N209" s="50"/>
      <c r="O209" s="49"/>
      <c r="P209" s="87"/>
      <c r="T209" s="80"/>
      <c r="U209" s="80"/>
    </row>
    <row r="210">
      <c r="A210" s="76" t="s">
        <v>81</v>
      </c>
      <c r="B210" s="60">
        <v>27.0</v>
      </c>
      <c r="C210" s="60">
        <v>24.0</v>
      </c>
      <c r="D210" s="60">
        <v>0.0</v>
      </c>
      <c r="E210" s="60">
        <v>0.0</v>
      </c>
      <c r="F210" s="60">
        <v>2.0</v>
      </c>
      <c r="G210" s="71">
        <v>0.0</v>
      </c>
      <c r="H210" s="73">
        <f t="shared" si="19"/>
        <v>59.8</v>
      </c>
      <c r="K210" s="49"/>
      <c r="L210" s="50"/>
      <c r="M210" s="50"/>
      <c r="N210" s="50"/>
      <c r="O210" s="49"/>
      <c r="P210" s="87"/>
      <c r="T210" s="80"/>
      <c r="U210" s="80"/>
    </row>
    <row r="211">
      <c r="A211" s="36" t="s">
        <v>116</v>
      </c>
      <c r="B211" s="60">
        <v>23.0</v>
      </c>
      <c r="C211" s="60">
        <v>4.0</v>
      </c>
      <c r="D211" s="60">
        <v>0.0</v>
      </c>
      <c r="E211" s="60">
        <v>0.0</v>
      </c>
      <c r="F211" s="60">
        <v>1.0</v>
      </c>
      <c r="G211" s="71">
        <v>1.0</v>
      </c>
      <c r="H211" s="72">
        <f t="shared" si="19"/>
        <v>28.8</v>
      </c>
      <c r="K211" s="49"/>
      <c r="L211" s="50"/>
      <c r="M211" s="50"/>
      <c r="N211" s="50"/>
      <c r="O211" s="49"/>
      <c r="P211" s="87"/>
      <c r="T211" s="80"/>
      <c r="U211" s="80"/>
    </row>
    <row r="212">
      <c r="A212" s="76" t="s">
        <v>97</v>
      </c>
      <c r="B212" s="60">
        <v>14.0</v>
      </c>
      <c r="C212" s="60">
        <v>4.0</v>
      </c>
      <c r="D212" s="60">
        <v>1.0</v>
      </c>
      <c r="E212" s="60">
        <v>1.0</v>
      </c>
      <c r="F212" s="60">
        <v>0.0</v>
      </c>
      <c r="G212" s="71">
        <v>2.0</v>
      </c>
      <c r="H212" s="73">
        <f t="shared" si="19"/>
        <v>20.3</v>
      </c>
      <c r="K212" s="49"/>
      <c r="L212" s="50"/>
      <c r="M212" s="50"/>
      <c r="N212" s="50"/>
      <c r="O212" s="49"/>
      <c r="P212" s="87"/>
      <c r="T212" s="80"/>
      <c r="U212" s="80"/>
    </row>
    <row r="213">
      <c r="A213" s="24" t="s">
        <v>73</v>
      </c>
      <c r="B213" s="60">
        <v>15.0</v>
      </c>
      <c r="C213" s="60">
        <v>3.0</v>
      </c>
      <c r="D213" s="60">
        <v>5.0</v>
      </c>
      <c r="E213" s="60">
        <v>0.0</v>
      </c>
      <c r="F213" s="60">
        <v>2.0</v>
      </c>
      <c r="G213" s="71">
        <v>2.0</v>
      </c>
      <c r="H213" s="72">
        <f t="shared" si="19"/>
        <v>28.1</v>
      </c>
      <c r="K213" s="49"/>
      <c r="L213" s="50"/>
      <c r="M213" s="50"/>
      <c r="N213" s="50"/>
      <c r="O213" s="49"/>
      <c r="P213" s="87"/>
      <c r="T213" s="80"/>
      <c r="U213" s="80"/>
    </row>
    <row r="214">
      <c r="A214" s="62" t="s">
        <v>73</v>
      </c>
      <c r="B214" s="60">
        <v>27.0</v>
      </c>
      <c r="C214" s="60">
        <v>8.0</v>
      </c>
      <c r="D214" s="60">
        <v>5.0</v>
      </c>
      <c r="E214" s="60">
        <v>2.0</v>
      </c>
      <c r="F214" s="60">
        <v>0.0</v>
      </c>
      <c r="G214" s="71">
        <v>2.0</v>
      </c>
      <c r="H214" s="73">
        <f t="shared" si="19"/>
        <v>46.1</v>
      </c>
      <c r="K214" s="49"/>
      <c r="L214" s="50"/>
      <c r="M214" s="50"/>
      <c r="N214" s="50"/>
      <c r="O214" s="49"/>
      <c r="P214" s="87"/>
      <c r="T214" s="80"/>
      <c r="U214" s="80"/>
    </row>
    <row r="215">
      <c r="A215" s="24" t="s">
        <v>73</v>
      </c>
      <c r="B215" s="60">
        <v>31.0</v>
      </c>
      <c r="C215" s="60">
        <v>4.0</v>
      </c>
      <c r="D215" s="60">
        <v>8.0</v>
      </c>
      <c r="E215" s="60">
        <v>1.0</v>
      </c>
      <c r="F215" s="60">
        <v>1.0</v>
      </c>
      <c r="G215" s="71">
        <v>3.0</v>
      </c>
      <c r="H215" s="73">
        <f t="shared" si="19"/>
        <v>48.8</v>
      </c>
      <c r="K215" s="49"/>
      <c r="L215" s="50"/>
      <c r="M215" s="50"/>
      <c r="N215" s="50"/>
      <c r="O215" s="49"/>
      <c r="P215" s="87"/>
      <c r="T215" s="80"/>
      <c r="U215" s="80"/>
    </row>
    <row r="216">
      <c r="A216" s="62" t="s">
        <v>73</v>
      </c>
      <c r="B216" s="60">
        <v>38.0</v>
      </c>
      <c r="C216" s="60">
        <v>5.0</v>
      </c>
      <c r="D216" s="60">
        <v>6.0</v>
      </c>
      <c r="E216" s="60">
        <v>2.0</v>
      </c>
      <c r="F216" s="60">
        <v>1.0</v>
      </c>
      <c r="G216" s="71">
        <v>1.0</v>
      </c>
      <c r="H216" s="73">
        <f t="shared" si="19"/>
        <v>58</v>
      </c>
      <c r="K216" s="49"/>
      <c r="L216" s="50"/>
      <c r="M216" s="50"/>
      <c r="N216" s="50"/>
      <c r="O216" s="49"/>
      <c r="P216" s="87"/>
      <c r="T216" s="80"/>
      <c r="U216" s="80"/>
    </row>
    <row r="217">
      <c r="A217" s="62" t="s">
        <v>74</v>
      </c>
      <c r="B217" s="60">
        <v>31.0</v>
      </c>
      <c r="C217" s="60">
        <v>6.0</v>
      </c>
      <c r="D217" s="60">
        <v>3.0</v>
      </c>
      <c r="E217" s="60">
        <v>1.0</v>
      </c>
      <c r="F217" s="60">
        <v>0.0</v>
      </c>
      <c r="G217" s="71">
        <v>4.0</v>
      </c>
      <c r="H217" s="73">
        <f t="shared" si="19"/>
        <v>40.7</v>
      </c>
      <c r="K217" s="49"/>
      <c r="L217" s="50"/>
      <c r="M217" s="50"/>
      <c r="N217" s="50"/>
      <c r="O217" s="49"/>
      <c r="P217" s="87"/>
      <c r="T217" s="80"/>
      <c r="U217" s="80"/>
    </row>
    <row r="218">
      <c r="A218" s="62" t="s">
        <v>74</v>
      </c>
      <c r="B218" s="60">
        <v>36.0</v>
      </c>
      <c r="C218" s="60">
        <v>7.0</v>
      </c>
      <c r="D218" s="60">
        <v>9.0</v>
      </c>
      <c r="E218" s="60">
        <v>1.0</v>
      </c>
      <c r="F218" s="60">
        <v>2.0</v>
      </c>
      <c r="G218" s="71">
        <v>2.0</v>
      </c>
      <c r="H218" s="73">
        <f t="shared" si="19"/>
        <v>61.9</v>
      </c>
      <c r="K218" s="49"/>
      <c r="L218" s="50"/>
      <c r="M218" s="50"/>
      <c r="N218" s="50"/>
      <c r="O218" s="49"/>
      <c r="P218" s="87"/>
      <c r="T218" s="80"/>
      <c r="U218" s="80"/>
    </row>
    <row r="219">
      <c r="A219" s="24" t="s">
        <v>74</v>
      </c>
      <c r="B219" s="60">
        <v>17.0</v>
      </c>
      <c r="C219" s="60">
        <v>3.0</v>
      </c>
      <c r="D219" s="60">
        <v>3.0</v>
      </c>
      <c r="E219" s="60">
        <v>1.0</v>
      </c>
      <c r="F219" s="60">
        <v>0.0</v>
      </c>
      <c r="G219" s="71">
        <v>4.0</v>
      </c>
      <c r="H219" s="72">
        <f t="shared" si="19"/>
        <v>23.1</v>
      </c>
      <c r="K219" s="49"/>
      <c r="L219" s="50"/>
      <c r="M219" s="50"/>
      <c r="N219" s="50"/>
      <c r="O219" s="49"/>
      <c r="P219" s="87"/>
      <c r="T219" s="80"/>
      <c r="U219" s="80"/>
    </row>
    <row r="220">
      <c r="A220" s="24" t="s">
        <v>74</v>
      </c>
      <c r="B220" s="60">
        <v>20.0</v>
      </c>
      <c r="C220" s="60">
        <v>5.0</v>
      </c>
      <c r="D220" s="60">
        <v>9.0</v>
      </c>
      <c r="E220" s="60">
        <v>1.0</v>
      </c>
      <c r="F220" s="60">
        <v>1.0</v>
      </c>
      <c r="G220" s="71">
        <v>6.0</v>
      </c>
      <c r="H220" s="73">
        <f t="shared" si="19"/>
        <v>37.5</v>
      </c>
      <c r="K220" s="49"/>
      <c r="L220" s="50"/>
      <c r="M220" s="50"/>
      <c r="N220" s="50"/>
      <c r="O220" s="49"/>
      <c r="P220" s="87"/>
      <c r="T220" s="80"/>
      <c r="U220" s="80"/>
    </row>
    <row r="221">
      <c r="A221" s="76" t="s">
        <v>74</v>
      </c>
      <c r="B221" s="77">
        <v>13.0</v>
      </c>
      <c r="C221" s="77">
        <v>3.0</v>
      </c>
      <c r="D221" s="77">
        <v>7.0</v>
      </c>
      <c r="E221" s="77">
        <v>0.0</v>
      </c>
      <c r="F221" s="77">
        <v>0.0</v>
      </c>
      <c r="G221" s="78">
        <v>3.0</v>
      </c>
      <c r="H221" s="73">
        <f t="shared" si="19"/>
        <v>24.1</v>
      </c>
      <c r="K221" s="49"/>
      <c r="L221" s="50"/>
      <c r="M221" s="50"/>
      <c r="N221" s="50"/>
      <c r="O221" s="49"/>
      <c r="P221" s="87"/>
      <c r="T221" s="80"/>
      <c r="U221" s="80"/>
    </row>
    <row r="222">
      <c r="A222" s="36" t="s">
        <v>94</v>
      </c>
      <c r="B222" s="60">
        <v>8.0</v>
      </c>
      <c r="C222" s="60">
        <v>2.0</v>
      </c>
      <c r="D222" s="60">
        <v>4.0</v>
      </c>
      <c r="E222" s="60">
        <v>0.0</v>
      </c>
      <c r="F222" s="60">
        <v>0.0</v>
      </c>
      <c r="G222" s="71">
        <v>2.0</v>
      </c>
      <c r="H222" s="73">
        <f t="shared" si="19"/>
        <v>14.4</v>
      </c>
      <c r="K222" s="49"/>
      <c r="L222" s="50"/>
      <c r="M222" s="50"/>
      <c r="N222" s="50"/>
      <c r="O222" s="49"/>
      <c r="P222" s="87"/>
      <c r="T222" s="80"/>
      <c r="U222" s="80"/>
    </row>
    <row r="223">
      <c r="A223" s="62" t="s">
        <v>139</v>
      </c>
      <c r="B223" s="60">
        <v>0.0</v>
      </c>
      <c r="C223" s="60">
        <v>1.0</v>
      </c>
      <c r="D223" s="60">
        <v>1.0</v>
      </c>
      <c r="E223" s="60">
        <v>0.0</v>
      </c>
      <c r="F223" s="60">
        <v>0.0</v>
      </c>
      <c r="G223" s="71">
        <v>1.0</v>
      </c>
      <c r="H223" s="73">
        <f t="shared" si="19"/>
        <v>1.7</v>
      </c>
      <c r="K223" s="49"/>
      <c r="L223" s="50"/>
      <c r="M223" s="50"/>
      <c r="N223" s="50"/>
      <c r="O223" s="49"/>
      <c r="P223" s="87"/>
      <c r="T223" s="80"/>
      <c r="U223" s="80"/>
    </row>
    <row r="224">
      <c r="A224" s="62" t="s">
        <v>128</v>
      </c>
      <c r="B224" s="60">
        <v>15.0</v>
      </c>
      <c r="C224" s="60">
        <v>13.0</v>
      </c>
      <c r="D224" s="60">
        <v>1.0</v>
      </c>
      <c r="E224" s="60">
        <v>1.0</v>
      </c>
      <c r="F224" s="60">
        <v>0.0</v>
      </c>
      <c r="G224" s="71">
        <v>1.0</v>
      </c>
      <c r="H224" s="73">
        <f t="shared" si="19"/>
        <v>33.1</v>
      </c>
      <c r="K224" s="49"/>
      <c r="L224" s="50"/>
      <c r="M224" s="50"/>
      <c r="N224" s="50"/>
      <c r="O224" s="49"/>
      <c r="P224" s="87"/>
      <c r="T224" s="80"/>
      <c r="U224" s="80"/>
    </row>
    <row r="225">
      <c r="A225" s="62" t="s">
        <v>128</v>
      </c>
      <c r="B225" s="60">
        <v>5.0</v>
      </c>
      <c r="C225" s="60">
        <v>6.0</v>
      </c>
      <c r="D225" s="60">
        <v>0.0</v>
      </c>
      <c r="E225" s="60">
        <v>1.0</v>
      </c>
      <c r="F225" s="60">
        <v>0.0</v>
      </c>
      <c r="G225" s="71">
        <v>1.0</v>
      </c>
      <c r="H225" s="73">
        <f t="shared" si="19"/>
        <v>13.2</v>
      </c>
      <c r="K225" s="49"/>
      <c r="L225" s="50"/>
      <c r="M225" s="50"/>
      <c r="N225" s="50"/>
      <c r="O225" s="49"/>
      <c r="P225" s="87"/>
      <c r="T225" s="80"/>
      <c r="U225" s="80"/>
    </row>
    <row r="226">
      <c r="A226" s="62" t="s">
        <v>117</v>
      </c>
      <c r="B226" s="77">
        <v>18.0</v>
      </c>
      <c r="C226" s="77">
        <v>3.0</v>
      </c>
      <c r="D226" s="77">
        <v>5.0</v>
      </c>
      <c r="E226" s="77">
        <v>0.0</v>
      </c>
      <c r="F226" s="77">
        <v>1.0</v>
      </c>
      <c r="G226" s="78">
        <v>1.0</v>
      </c>
      <c r="H226" s="73">
        <f t="shared" si="19"/>
        <v>30.1</v>
      </c>
      <c r="K226" s="49"/>
      <c r="L226" s="50"/>
      <c r="M226" s="50"/>
      <c r="N226" s="50"/>
      <c r="O226" s="49"/>
      <c r="P226" s="87"/>
      <c r="T226" s="80"/>
      <c r="U226" s="80"/>
    </row>
    <row r="227">
      <c r="A227" s="62" t="s">
        <v>117</v>
      </c>
      <c r="B227" s="60">
        <v>6.0</v>
      </c>
      <c r="C227" s="60">
        <v>3.0</v>
      </c>
      <c r="D227" s="60">
        <v>0.0</v>
      </c>
      <c r="E227" s="60">
        <v>1.0</v>
      </c>
      <c r="F227" s="60">
        <v>0.0</v>
      </c>
      <c r="G227" s="71">
        <v>1.0</v>
      </c>
      <c r="H227" s="73">
        <f t="shared" si="19"/>
        <v>10.6</v>
      </c>
      <c r="K227" s="49"/>
      <c r="L227" s="50"/>
      <c r="M227" s="50"/>
      <c r="N227" s="50"/>
      <c r="O227" s="49"/>
      <c r="P227" s="87"/>
      <c r="T227" s="80"/>
      <c r="U227" s="80"/>
    </row>
    <row r="228">
      <c r="A228" s="62" t="s">
        <v>47</v>
      </c>
      <c r="B228" s="60">
        <v>21.0</v>
      </c>
      <c r="C228" s="60">
        <v>3.0</v>
      </c>
      <c r="D228" s="60">
        <v>2.0</v>
      </c>
      <c r="E228" s="60">
        <v>1.0</v>
      </c>
      <c r="F228" s="60">
        <v>0.0</v>
      </c>
      <c r="G228" s="71">
        <v>3.0</v>
      </c>
      <c r="H228" s="72">
        <f t="shared" si="19"/>
        <v>26.6</v>
      </c>
      <c r="K228" s="49"/>
      <c r="L228" s="50"/>
      <c r="M228" s="50"/>
      <c r="N228" s="50"/>
      <c r="O228" s="49"/>
      <c r="P228" s="87"/>
      <c r="T228" s="80"/>
      <c r="U228" s="80"/>
    </row>
    <row r="229">
      <c r="A229" s="24" t="s">
        <v>47</v>
      </c>
      <c r="B229" s="60">
        <v>33.0</v>
      </c>
      <c r="C229" s="60">
        <v>6.0</v>
      </c>
      <c r="D229" s="60">
        <v>5.0</v>
      </c>
      <c r="E229" s="60">
        <v>0.0</v>
      </c>
      <c r="F229" s="60">
        <v>0.0</v>
      </c>
      <c r="G229" s="71">
        <v>2.0</v>
      </c>
      <c r="H229" s="73">
        <f t="shared" si="19"/>
        <v>45.7</v>
      </c>
      <c r="K229" s="49"/>
      <c r="L229" s="50"/>
      <c r="M229" s="50"/>
      <c r="N229" s="50"/>
      <c r="O229" s="49"/>
      <c r="P229" s="88"/>
      <c r="T229" s="80"/>
      <c r="U229" s="80"/>
    </row>
    <row r="230">
      <c r="A230" s="62" t="s">
        <v>47</v>
      </c>
      <c r="B230" s="60">
        <v>13.0</v>
      </c>
      <c r="C230" s="60">
        <v>4.0</v>
      </c>
      <c r="D230" s="60">
        <v>3.0</v>
      </c>
      <c r="E230" s="60">
        <v>1.0</v>
      </c>
      <c r="F230" s="60">
        <v>0.0</v>
      </c>
      <c r="G230" s="71">
        <v>3.0</v>
      </c>
      <c r="H230" s="72">
        <f t="shared" si="19"/>
        <v>21.3</v>
      </c>
      <c r="K230" s="49"/>
      <c r="L230" s="50"/>
      <c r="M230" s="50"/>
      <c r="N230" s="50"/>
      <c r="O230" s="49"/>
      <c r="P230" s="87"/>
      <c r="T230" s="80"/>
      <c r="U230" s="80"/>
    </row>
    <row r="231">
      <c r="A231" s="62" t="s">
        <v>47</v>
      </c>
      <c r="B231" s="60">
        <v>4.0</v>
      </c>
      <c r="C231" s="60">
        <v>1.0</v>
      </c>
      <c r="D231" s="60">
        <v>1.0</v>
      </c>
      <c r="E231" s="60">
        <v>0.0</v>
      </c>
      <c r="F231" s="60">
        <v>0.0</v>
      </c>
      <c r="G231" s="71">
        <v>1.0</v>
      </c>
      <c r="H231" s="73">
        <f t="shared" si="19"/>
        <v>5.7</v>
      </c>
      <c r="K231" s="49"/>
      <c r="L231" s="50"/>
      <c r="M231" s="50"/>
      <c r="N231" s="50"/>
      <c r="O231" s="49"/>
      <c r="P231" s="87"/>
      <c r="T231" s="80"/>
      <c r="U231" s="80"/>
    </row>
    <row r="232">
      <c r="A232" s="24" t="s">
        <v>92</v>
      </c>
      <c r="B232" s="36">
        <v>10.0</v>
      </c>
      <c r="C232" s="36">
        <v>7.0</v>
      </c>
      <c r="D232" s="36">
        <v>12.0</v>
      </c>
      <c r="E232" s="36">
        <v>0.0</v>
      </c>
      <c r="F232" s="36">
        <v>0.0</v>
      </c>
      <c r="G232" s="74">
        <v>1.0</v>
      </c>
      <c r="H232" s="75">
        <v>35.4</v>
      </c>
      <c r="K232" s="49"/>
      <c r="L232" s="50"/>
      <c r="M232" s="50"/>
      <c r="N232" s="50"/>
      <c r="O232" s="49"/>
      <c r="P232" s="87"/>
      <c r="T232" s="80"/>
      <c r="U232" s="80"/>
    </row>
    <row r="233">
      <c r="A233" s="62" t="s">
        <v>92</v>
      </c>
      <c r="B233" s="60">
        <v>21.0</v>
      </c>
      <c r="C233" s="60">
        <v>5.0</v>
      </c>
      <c r="D233" s="60">
        <v>12.0</v>
      </c>
      <c r="E233" s="60">
        <v>0.0</v>
      </c>
      <c r="F233" s="60">
        <v>0.0</v>
      </c>
      <c r="G233" s="71">
        <v>3.0</v>
      </c>
      <c r="H233" s="73">
        <f t="shared" ref="H233:H496" si="20">sum(B233+1.2*C233+1.5*D233+2*E233+2*F233)-G233</f>
        <v>42</v>
      </c>
      <c r="K233" s="49"/>
      <c r="L233" s="50"/>
      <c r="M233" s="50"/>
      <c r="N233" s="50"/>
      <c r="O233" s="49"/>
      <c r="P233" s="87"/>
      <c r="T233" s="80"/>
      <c r="U233" s="80"/>
    </row>
    <row r="234">
      <c r="A234" s="62" t="s">
        <v>92</v>
      </c>
      <c r="B234" s="60">
        <v>14.0</v>
      </c>
      <c r="C234" s="60">
        <v>7.0</v>
      </c>
      <c r="D234" s="60">
        <v>10.0</v>
      </c>
      <c r="E234" s="60">
        <v>0.0</v>
      </c>
      <c r="F234" s="60">
        <v>1.0</v>
      </c>
      <c r="G234" s="71">
        <v>1.0</v>
      </c>
      <c r="H234" s="73">
        <f t="shared" si="20"/>
        <v>38.4</v>
      </c>
      <c r="K234" s="49"/>
      <c r="L234" s="50"/>
      <c r="M234" s="50"/>
      <c r="N234" s="50"/>
      <c r="O234" s="49"/>
      <c r="P234" s="87"/>
      <c r="T234" s="80"/>
      <c r="U234" s="80"/>
    </row>
    <row r="235">
      <c r="A235" s="62" t="s">
        <v>92</v>
      </c>
      <c r="B235" s="60">
        <v>17.0</v>
      </c>
      <c r="C235" s="60">
        <v>8.0</v>
      </c>
      <c r="D235" s="60">
        <v>15.0</v>
      </c>
      <c r="E235" s="60">
        <v>1.0</v>
      </c>
      <c r="F235" s="60">
        <v>0.0</v>
      </c>
      <c r="G235" s="71">
        <v>5.0</v>
      </c>
      <c r="H235" s="73">
        <f t="shared" si="20"/>
        <v>46.1</v>
      </c>
      <c r="K235" s="49"/>
      <c r="L235" s="50"/>
      <c r="M235" s="50"/>
      <c r="N235" s="50"/>
      <c r="O235" s="49"/>
      <c r="P235" s="87"/>
      <c r="T235" s="80"/>
      <c r="U235" s="80"/>
    </row>
    <row r="236">
      <c r="A236" s="62" t="s">
        <v>92</v>
      </c>
      <c r="B236" s="60">
        <v>26.0</v>
      </c>
      <c r="C236" s="60">
        <v>5.0</v>
      </c>
      <c r="D236" s="60">
        <v>9.0</v>
      </c>
      <c r="E236" s="60">
        <v>3.0</v>
      </c>
      <c r="F236" s="60">
        <v>3.0</v>
      </c>
      <c r="G236" s="71">
        <v>1.0</v>
      </c>
      <c r="H236" s="72">
        <f t="shared" si="20"/>
        <v>56.5</v>
      </c>
      <c r="K236" s="49"/>
      <c r="L236" s="50"/>
      <c r="M236" s="50"/>
      <c r="N236" s="50"/>
      <c r="O236" s="49"/>
      <c r="P236" s="87"/>
      <c r="T236" s="80"/>
      <c r="U236" s="80"/>
    </row>
    <row r="237">
      <c r="A237" s="36" t="s">
        <v>100</v>
      </c>
      <c r="B237" s="60">
        <v>25.0</v>
      </c>
      <c r="C237" s="60">
        <v>4.0</v>
      </c>
      <c r="D237" s="60">
        <v>3.0</v>
      </c>
      <c r="E237" s="60">
        <v>0.0</v>
      </c>
      <c r="F237" s="60">
        <v>1.0</v>
      </c>
      <c r="G237" s="71">
        <v>4.0</v>
      </c>
      <c r="H237" s="72">
        <f t="shared" si="20"/>
        <v>32.3</v>
      </c>
      <c r="K237" s="49"/>
      <c r="L237" s="50"/>
      <c r="M237" s="50"/>
      <c r="N237" s="50"/>
      <c r="O237" s="49"/>
      <c r="P237" s="88"/>
      <c r="T237" s="80"/>
      <c r="U237" s="80"/>
    </row>
    <row r="238">
      <c r="A238" s="76" t="s">
        <v>139</v>
      </c>
      <c r="B238" s="60">
        <v>7.0</v>
      </c>
      <c r="C238" s="60">
        <v>5.0</v>
      </c>
      <c r="D238" s="60">
        <v>1.0</v>
      </c>
      <c r="E238" s="60">
        <v>1.0</v>
      </c>
      <c r="F238" s="60">
        <v>0.0</v>
      </c>
      <c r="G238" s="71">
        <v>4.0</v>
      </c>
      <c r="H238" s="72">
        <f t="shared" si="20"/>
        <v>12.5</v>
      </c>
      <c r="K238" s="49"/>
      <c r="L238" s="50"/>
      <c r="M238" s="50"/>
      <c r="N238" s="50"/>
      <c r="O238" s="49"/>
      <c r="P238" s="87"/>
      <c r="T238" s="80"/>
      <c r="U238" s="80"/>
    </row>
    <row r="239">
      <c r="A239" s="70" t="s">
        <v>66</v>
      </c>
      <c r="B239" s="60">
        <v>25.0</v>
      </c>
      <c r="C239" s="60">
        <v>7.0</v>
      </c>
      <c r="D239" s="60">
        <v>8.0</v>
      </c>
      <c r="E239" s="60">
        <v>3.0</v>
      </c>
      <c r="F239" s="60">
        <v>1.0</v>
      </c>
      <c r="G239" s="71">
        <v>4.0</v>
      </c>
      <c r="H239" s="72">
        <f t="shared" si="20"/>
        <v>49.4</v>
      </c>
      <c r="K239" s="49"/>
      <c r="L239" s="50"/>
      <c r="M239" s="50"/>
      <c r="N239" s="50"/>
      <c r="O239" s="49"/>
      <c r="P239" s="87"/>
      <c r="T239" s="80"/>
      <c r="U239" s="80"/>
    </row>
    <row r="240">
      <c r="A240" s="76" t="s">
        <v>99</v>
      </c>
      <c r="B240" s="60">
        <v>10.0</v>
      </c>
      <c r="C240" s="60">
        <v>6.0</v>
      </c>
      <c r="D240" s="60">
        <v>0.0</v>
      </c>
      <c r="E240" s="60">
        <v>1.0</v>
      </c>
      <c r="F240" s="60">
        <v>3.0</v>
      </c>
      <c r="G240" s="71">
        <v>1.0</v>
      </c>
      <c r="H240" s="72">
        <f t="shared" si="20"/>
        <v>24.2</v>
      </c>
      <c r="K240" s="49"/>
      <c r="L240" s="50"/>
      <c r="M240" s="50"/>
      <c r="N240" s="50"/>
      <c r="O240" s="49"/>
      <c r="P240" s="87"/>
      <c r="T240" s="80"/>
      <c r="U240" s="80"/>
    </row>
    <row r="241">
      <c r="A241" s="36" t="s">
        <v>82</v>
      </c>
      <c r="B241" s="77">
        <v>22.0</v>
      </c>
      <c r="C241" s="77">
        <v>5.0</v>
      </c>
      <c r="D241" s="77">
        <v>1.0</v>
      </c>
      <c r="E241" s="77">
        <v>3.0</v>
      </c>
      <c r="F241" s="77">
        <v>2.0</v>
      </c>
      <c r="G241" s="78">
        <v>2.0</v>
      </c>
      <c r="H241" s="72">
        <f t="shared" si="20"/>
        <v>37.5</v>
      </c>
      <c r="K241" s="49"/>
      <c r="L241" s="50"/>
      <c r="M241" s="50"/>
      <c r="N241" s="50"/>
      <c r="O241" s="49"/>
      <c r="P241" s="88"/>
      <c r="T241" s="80"/>
      <c r="U241" s="80"/>
    </row>
    <row r="242">
      <c r="A242" s="76" t="s">
        <v>75</v>
      </c>
      <c r="B242" s="60">
        <v>23.0</v>
      </c>
      <c r="C242" s="60">
        <v>7.0</v>
      </c>
      <c r="D242" s="60">
        <v>8.0</v>
      </c>
      <c r="E242" s="60">
        <v>3.0</v>
      </c>
      <c r="F242" s="60">
        <v>1.0</v>
      </c>
      <c r="G242" s="71">
        <v>3.0</v>
      </c>
      <c r="H242" s="73">
        <f t="shared" si="20"/>
        <v>48.4</v>
      </c>
      <c r="K242" s="49"/>
      <c r="L242" s="50"/>
      <c r="M242" s="50"/>
      <c r="N242" s="50"/>
      <c r="O242" s="49"/>
      <c r="P242" s="87"/>
      <c r="T242" s="80"/>
      <c r="U242" s="80"/>
    </row>
    <row r="243">
      <c r="A243" s="76" t="s">
        <v>97</v>
      </c>
      <c r="B243" s="60">
        <v>14.0</v>
      </c>
      <c r="C243" s="60">
        <v>10.0</v>
      </c>
      <c r="D243" s="60">
        <v>6.0</v>
      </c>
      <c r="E243" s="60">
        <v>0.0</v>
      </c>
      <c r="F243" s="60">
        <v>0.0</v>
      </c>
      <c r="G243" s="71">
        <v>2.0</v>
      </c>
      <c r="H243" s="73">
        <f t="shared" si="20"/>
        <v>33</v>
      </c>
      <c r="K243" s="49"/>
      <c r="L243" s="50"/>
      <c r="M243" s="50"/>
      <c r="N243" s="50"/>
      <c r="O243" s="49"/>
      <c r="P243" s="87"/>
      <c r="T243" s="80"/>
      <c r="U243" s="80"/>
    </row>
    <row r="244">
      <c r="A244" s="76" t="s">
        <v>70</v>
      </c>
      <c r="B244" s="60">
        <v>10.0</v>
      </c>
      <c r="C244" s="60">
        <v>15.0</v>
      </c>
      <c r="D244" s="60">
        <v>2.0</v>
      </c>
      <c r="E244" s="60">
        <v>2.0</v>
      </c>
      <c r="F244" s="60">
        <v>0.0</v>
      </c>
      <c r="G244" s="71">
        <v>3.0</v>
      </c>
      <c r="H244" s="73">
        <f t="shared" si="20"/>
        <v>32</v>
      </c>
      <c r="K244" s="49"/>
      <c r="L244" s="50"/>
      <c r="M244" s="50"/>
      <c r="N244" s="50"/>
      <c r="O244" s="49"/>
      <c r="P244" s="91"/>
      <c r="T244" s="80"/>
      <c r="U244" s="80"/>
    </row>
    <row r="245">
      <c r="A245" s="76" t="s">
        <v>89</v>
      </c>
      <c r="B245" s="60">
        <v>13.0</v>
      </c>
      <c r="C245" s="60">
        <v>10.0</v>
      </c>
      <c r="D245" s="60">
        <v>4.0</v>
      </c>
      <c r="E245" s="60">
        <v>0.0</v>
      </c>
      <c r="F245" s="60">
        <v>1.0</v>
      </c>
      <c r="G245" s="71">
        <v>3.0</v>
      </c>
      <c r="H245" s="73">
        <f t="shared" si="20"/>
        <v>30</v>
      </c>
      <c r="K245" s="49"/>
      <c r="L245" s="50"/>
      <c r="M245" s="50"/>
      <c r="N245" s="50"/>
      <c r="O245" s="49"/>
      <c r="T245" s="80"/>
      <c r="U245" s="80"/>
    </row>
    <row r="246">
      <c r="A246" s="70" t="s">
        <v>128</v>
      </c>
      <c r="B246" s="77">
        <v>14.0</v>
      </c>
      <c r="C246" s="77">
        <v>5.0</v>
      </c>
      <c r="D246" s="77">
        <v>0.0</v>
      </c>
      <c r="E246" s="77">
        <v>1.0</v>
      </c>
      <c r="F246" s="77">
        <v>0.0</v>
      </c>
      <c r="G246" s="78">
        <v>1.0</v>
      </c>
      <c r="H246" s="73">
        <f t="shared" si="20"/>
        <v>21</v>
      </c>
      <c r="K246" s="49"/>
      <c r="L246" s="50"/>
      <c r="M246" s="50"/>
      <c r="N246" s="50"/>
      <c r="O246" s="49"/>
      <c r="P246" s="91"/>
      <c r="T246" s="80"/>
      <c r="U246" s="80"/>
    </row>
    <row r="247">
      <c r="A247" s="36" t="s">
        <v>84</v>
      </c>
      <c r="B247" s="60">
        <v>40.0</v>
      </c>
      <c r="C247" s="60">
        <v>4.0</v>
      </c>
      <c r="D247" s="60">
        <v>7.0</v>
      </c>
      <c r="E247" s="60">
        <v>0.0</v>
      </c>
      <c r="F247" s="60">
        <v>0.0</v>
      </c>
      <c r="G247" s="71">
        <v>2.0</v>
      </c>
      <c r="H247" s="73">
        <f t="shared" si="20"/>
        <v>53.3</v>
      </c>
      <c r="K247" s="49"/>
      <c r="L247" s="50"/>
      <c r="M247" s="50"/>
      <c r="N247" s="50"/>
      <c r="O247" s="49"/>
      <c r="P247" s="91"/>
      <c r="T247" s="80"/>
      <c r="U247" s="80"/>
    </row>
    <row r="248">
      <c r="A248" s="36" t="s">
        <v>90</v>
      </c>
      <c r="B248" s="60">
        <v>28.0</v>
      </c>
      <c r="C248" s="60">
        <v>6.0</v>
      </c>
      <c r="D248" s="60">
        <v>8.0</v>
      </c>
      <c r="E248" s="60">
        <v>2.0</v>
      </c>
      <c r="F248" s="60">
        <v>1.0</v>
      </c>
      <c r="G248" s="71">
        <v>4.0</v>
      </c>
      <c r="H248" s="73">
        <f t="shared" si="20"/>
        <v>49.2</v>
      </c>
      <c r="K248" s="49"/>
      <c r="L248" s="50"/>
      <c r="M248" s="50"/>
      <c r="N248" s="50"/>
      <c r="O248" s="49"/>
      <c r="P248" s="91"/>
      <c r="T248" s="80"/>
      <c r="U248" s="80"/>
    </row>
    <row r="249">
      <c r="A249" s="76" t="s">
        <v>108</v>
      </c>
      <c r="B249" s="60">
        <v>21.0</v>
      </c>
      <c r="C249" s="60">
        <v>6.0</v>
      </c>
      <c r="D249" s="60">
        <v>3.0</v>
      </c>
      <c r="E249" s="60">
        <v>0.0</v>
      </c>
      <c r="F249" s="60">
        <v>0.0</v>
      </c>
      <c r="G249" s="71">
        <v>2.0</v>
      </c>
      <c r="H249" s="73">
        <f t="shared" si="20"/>
        <v>30.7</v>
      </c>
      <c r="K249" s="49"/>
      <c r="L249" s="50"/>
      <c r="M249" s="50"/>
      <c r="N249" s="50"/>
      <c r="O249" s="49"/>
      <c r="P249" s="91"/>
      <c r="T249" s="80"/>
      <c r="U249" s="80"/>
    </row>
    <row r="250">
      <c r="A250" s="36" t="s">
        <v>58</v>
      </c>
      <c r="B250" s="60">
        <v>19.0</v>
      </c>
      <c r="C250" s="60">
        <v>5.0</v>
      </c>
      <c r="D250" s="60">
        <v>1.0</v>
      </c>
      <c r="E250" s="60">
        <v>1.0</v>
      </c>
      <c r="F250" s="60">
        <v>1.0</v>
      </c>
      <c r="G250" s="71">
        <v>2.0</v>
      </c>
      <c r="H250" s="73">
        <f t="shared" si="20"/>
        <v>28.5</v>
      </c>
      <c r="K250" s="49"/>
      <c r="L250" s="50"/>
      <c r="M250" s="50"/>
      <c r="N250" s="59"/>
      <c r="P250" s="91"/>
      <c r="T250" s="80"/>
      <c r="U250" s="80"/>
    </row>
    <row r="251">
      <c r="A251" s="76" t="s">
        <v>85</v>
      </c>
      <c r="B251" s="60">
        <v>5.0</v>
      </c>
      <c r="C251" s="60">
        <v>3.0</v>
      </c>
      <c r="D251" s="60">
        <v>0.0</v>
      </c>
      <c r="E251" s="60">
        <v>2.0</v>
      </c>
      <c r="F251" s="60">
        <v>1.0</v>
      </c>
      <c r="G251" s="71">
        <v>0.0</v>
      </c>
      <c r="H251" s="73">
        <f t="shared" si="20"/>
        <v>14.6</v>
      </c>
      <c r="L251" s="59"/>
      <c r="M251" s="59"/>
      <c r="N251" s="59"/>
      <c r="P251" s="91"/>
      <c r="T251" s="80"/>
      <c r="U251" s="80"/>
    </row>
    <row r="252">
      <c r="A252" s="76" t="s">
        <v>72</v>
      </c>
      <c r="B252" s="60">
        <v>21.0</v>
      </c>
      <c r="C252" s="60">
        <v>8.0</v>
      </c>
      <c r="D252" s="60">
        <v>8.0</v>
      </c>
      <c r="E252" s="60">
        <v>0.0</v>
      </c>
      <c r="F252" s="60">
        <v>3.0</v>
      </c>
      <c r="G252" s="71">
        <v>3.0</v>
      </c>
      <c r="H252" s="73">
        <f t="shared" si="20"/>
        <v>45.6</v>
      </c>
      <c r="L252" s="59"/>
      <c r="M252" s="59"/>
      <c r="N252" s="59"/>
      <c r="T252" s="80"/>
      <c r="U252" s="80"/>
    </row>
    <row r="253">
      <c r="A253" s="36" t="s">
        <v>113</v>
      </c>
      <c r="B253" s="60">
        <v>14.0</v>
      </c>
      <c r="C253" s="60">
        <v>3.0</v>
      </c>
      <c r="D253" s="60">
        <v>1.0</v>
      </c>
      <c r="E253" s="60">
        <v>0.0</v>
      </c>
      <c r="F253" s="60">
        <v>0.0</v>
      </c>
      <c r="G253" s="71">
        <v>0.0</v>
      </c>
      <c r="H253" s="73">
        <f t="shared" si="20"/>
        <v>19.1</v>
      </c>
      <c r="L253" s="59"/>
      <c r="M253" s="59"/>
      <c r="N253" s="59"/>
      <c r="T253" s="80"/>
      <c r="U253" s="80"/>
    </row>
    <row r="254">
      <c r="A254" s="36" t="s">
        <v>50</v>
      </c>
      <c r="B254" s="60">
        <v>27.0</v>
      </c>
      <c r="C254" s="60">
        <v>10.0</v>
      </c>
      <c r="D254" s="60">
        <v>5.0</v>
      </c>
      <c r="E254" s="60">
        <v>0.0</v>
      </c>
      <c r="F254" s="60">
        <v>0.0</v>
      </c>
      <c r="G254" s="71">
        <v>1.0</v>
      </c>
      <c r="H254" s="73">
        <f t="shared" si="20"/>
        <v>45.5</v>
      </c>
      <c r="L254" s="59"/>
      <c r="M254" s="59"/>
      <c r="N254" s="59"/>
      <c r="T254" s="80"/>
      <c r="U254" s="80"/>
    </row>
    <row r="255">
      <c r="A255" s="76" t="s">
        <v>122</v>
      </c>
      <c r="B255" s="60">
        <v>24.0</v>
      </c>
      <c r="C255" s="60">
        <v>3.0</v>
      </c>
      <c r="D255" s="60">
        <v>1.0</v>
      </c>
      <c r="E255" s="60">
        <v>2.0</v>
      </c>
      <c r="F255" s="60">
        <v>0.0</v>
      </c>
      <c r="G255" s="71">
        <v>1.0</v>
      </c>
      <c r="H255" s="73">
        <f t="shared" si="20"/>
        <v>32.1</v>
      </c>
      <c r="L255" s="59"/>
      <c r="M255" s="59"/>
      <c r="N255" s="59"/>
      <c r="T255" s="80"/>
      <c r="U255" s="80"/>
    </row>
    <row r="256">
      <c r="A256" s="70" t="s">
        <v>95</v>
      </c>
      <c r="B256" s="68">
        <v>17.0</v>
      </c>
      <c r="C256" s="68">
        <v>6.0</v>
      </c>
      <c r="D256" s="68">
        <v>1.0</v>
      </c>
      <c r="E256" s="68">
        <v>3.0</v>
      </c>
      <c r="F256" s="68">
        <v>2.0</v>
      </c>
      <c r="G256" s="79">
        <v>0.0</v>
      </c>
      <c r="H256" s="73">
        <f t="shared" si="20"/>
        <v>35.7</v>
      </c>
      <c r="L256" s="59"/>
      <c r="M256" s="59"/>
      <c r="N256" s="59"/>
      <c r="T256" s="80"/>
      <c r="U256" s="80"/>
    </row>
    <row r="257">
      <c r="A257" s="36" t="s">
        <v>94</v>
      </c>
      <c r="B257" s="60">
        <v>10.0</v>
      </c>
      <c r="C257" s="60">
        <v>7.0</v>
      </c>
      <c r="D257" s="60">
        <v>3.0</v>
      </c>
      <c r="E257" s="60">
        <v>1.0</v>
      </c>
      <c r="F257" s="60">
        <v>0.0</v>
      </c>
      <c r="G257" s="71">
        <v>2.0</v>
      </c>
      <c r="H257" s="72">
        <f t="shared" si="20"/>
        <v>22.9</v>
      </c>
      <c r="L257" s="59"/>
      <c r="M257" s="59"/>
      <c r="N257" s="59"/>
      <c r="T257" s="80"/>
      <c r="U257" s="80"/>
    </row>
    <row r="258">
      <c r="A258" s="76" t="s">
        <v>113</v>
      </c>
      <c r="B258" s="60">
        <v>21.0</v>
      </c>
      <c r="C258" s="60">
        <v>5.0</v>
      </c>
      <c r="D258" s="60">
        <v>4.0</v>
      </c>
      <c r="E258" s="60">
        <v>1.0</v>
      </c>
      <c r="F258" s="60">
        <v>0.0</v>
      </c>
      <c r="G258" s="71">
        <v>0.0</v>
      </c>
      <c r="H258" s="72">
        <f t="shared" si="20"/>
        <v>35</v>
      </c>
      <c r="L258" s="59"/>
      <c r="M258" s="59"/>
      <c r="N258" s="59"/>
      <c r="T258" s="80"/>
      <c r="U258" s="80"/>
    </row>
    <row r="259">
      <c r="A259" s="70" t="s">
        <v>66</v>
      </c>
      <c r="B259" s="60">
        <v>16.0</v>
      </c>
      <c r="C259" s="60">
        <v>10.0</v>
      </c>
      <c r="D259" s="60">
        <v>8.0</v>
      </c>
      <c r="E259" s="60">
        <v>3.0</v>
      </c>
      <c r="F259" s="60">
        <v>1.0</v>
      </c>
      <c r="G259" s="71">
        <v>5.0</v>
      </c>
      <c r="H259" s="72">
        <f t="shared" si="20"/>
        <v>43</v>
      </c>
      <c r="L259" s="59"/>
      <c r="M259" s="59"/>
      <c r="N259" s="59"/>
      <c r="T259" s="80"/>
      <c r="U259" s="80"/>
    </row>
    <row r="260">
      <c r="A260" s="76" t="s">
        <v>99</v>
      </c>
      <c r="B260" s="60">
        <v>10.0</v>
      </c>
      <c r="C260" s="60">
        <v>14.0</v>
      </c>
      <c r="D260" s="60">
        <v>2.0</v>
      </c>
      <c r="E260" s="60">
        <v>1.0</v>
      </c>
      <c r="F260" s="60">
        <v>0.0</v>
      </c>
      <c r="G260" s="71">
        <v>3.0</v>
      </c>
      <c r="H260" s="72">
        <f t="shared" si="20"/>
        <v>28.8</v>
      </c>
      <c r="L260" s="59"/>
      <c r="M260" s="59"/>
      <c r="N260" s="59"/>
      <c r="T260" s="80"/>
      <c r="U260" s="80"/>
    </row>
    <row r="261">
      <c r="A261" s="36" t="s">
        <v>126</v>
      </c>
      <c r="B261" s="77">
        <v>8.0</v>
      </c>
      <c r="C261" s="77">
        <v>6.0</v>
      </c>
      <c r="D261" s="77">
        <v>7.0</v>
      </c>
      <c r="E261" s="77">
        <v>0.0</v>
      </c>
      <c r="F261" s="77">
        <v>3.0</v>
      </c>
      <c r="G261" s="78">
        <v>4.0</v>
      </c>
      <c r="H261" s="72">
        <f t="shared" si="20"/>
        <v>27.7</v>
      </c>
      <c r="L261" s="59"/>
      <c r="M261" s="59"/>
      <c r="N261" s="59"/>
      <c r="T261" s="80"/>
      <c r="U261" s="80"/>
    </row>
    <row r="262">
      <c r="A262" s="76" t="s">
        <v>74</v>
      </c>
      <c r="B262" s="60">
        <v>29.0</v>
      </c>
      <c r="C262" s="60">
        <v>7.0</v>
      </c>
      <c r="D262" s="60">
        <v>2.0</v>
      </c>
      <c r="E262" s="60">
        <v>2.0</v>
      </c>
      <c r="F262" s="60">
        <v>1.0</v>
      </c>
      <c r="G262" s="71">
        <v>5.0</v>
      </c>
      <c r="H262" s="73">
        <f t="shared" si="20"/>
        <v>41.4</v>
      </c>
      <c r="L262" s="59"/>
      <c r="M262" s="59"/>
      <c r="N262" s="59"/>
      <c r="T262" s="80"/>
      <c r="U262" s="80"/>
    </row>
    <row r="263">
      <c r="A263" s="76" t="s">
        <v>109</v>
      </c>
      <c r="B263" s="60">
        <v>12.0</v>
      </c>
      <c r="C263" s="60">
        <v>5.0</v>
      </c>
      <c r="D263" s="60">
        <v>3.0</v>
      </c>
      <c r="E263" s="60">
        <v>0.0</v>
      </c>
      <c r="F263" s="60">
        <v>1.0</v>
      </c>
      <c r="G263" s="71">
        <v>1.0</v>
      </c>
      <c r="H263" s="73">
        <f t="shared" si="20"/>
        <v>23.5</v>
      </c>
      <c r="L263" s="59"/>
      <c r="M263" s="59"/>
      <c r="N263" s="59"/>
      <c r="T263" s="80"/>
      <c r="U263" s="80"/>
    </row>
    <row r="264">
      <c r="A264" s="76" t="s">
        <v>76</v>
      </c>
      <c r="B264" s="60">
        <v>27.0</v>
      </c>
      <c r="C264" s="60">
        <v>9.0</v>
      </c>
      <c r="D264" s="60">
        <v>8.0</v>
      </c>
      <c r="E264" s="60">
        <v>0.0</v>
      </c>
      <c r="F264" s="60">
        <v>1.0</v>
      </c>
      <c r="G264" s="71">
        <v>1.0</v>
      </c>
      <c r="H264" s="73">
        <f t="shared" si="20"/>
        <v>50.8</v>
      </c>
      <c r="L264" s="59"/>
      <c r="M264" s="59"/>
      <c r="N264" s="59"/>
      <c r="T264" s="80"/>
      <c r="U264" s="80"/>
    </row>
    <row r="265">
      <c r="A265" s="76" t="s">
        <v>77</v>
      </c>
      <c r="B265" s="60">
        <v>14.0</v>
      </c>
      <c r="C265" s="60">
        <v>7.0</v>
      </c>
      <c r="D265" s="60">
        <v>2.0</v>
      </c>
      <c r="E265" s="60">
        <v>3.0</v>
      </c>
      <c r="F265" s="60">
        <v>0.0</v>
      </c>
      <c r="G265" s="71">
        <v>2.0</v>
      </c>
      <c r="H265" s="73">
        <f t="shared" si="20"/>
        <v>29.4</v>
      </c>
      <c r="L265" s="59"/>
      <c r="M265" s="59"/>
      <c r="N265" s="59"/>
      <c r="T265" s="80"/>
      <c r="U265" s="80"/>
    </row>
    <row r="266">
      <c r="A266" s="70" t="s">
        <v>85</v>
      </c>
      <c r="B266" s="77">
        <v>15.0</v>
      </c>
      <c r="C266" s="77">
        <v>6.0</v>
      </c>
      <c r="D266" s="77">
        <v>0.0</v>
      </c>
      <c r="E266" s="77">
        <v>0.0</v>
      </c>
      <c r="F266" s="77">
        <v>0.0</v>
      </c>
      <c r="G266" s="78">
        <v>0.0</v>
      </c>
      <c r="H266" s="73">
        <f t="shared" si="20"/>
        <v>22.2</v>
      </c>
      <c r="L266" s="59"/>
      <c r="M266" s="59"/>
      <c r="N266" s="59"/>
      <c r="T266" s="80"/>
      <c r="U266" s="80"/>
    </row>
    <row r="267">
      <c r="A267" s="36" t="s">
        <v>90</v>
      </c>
      <c r="B267" s="60">
        <v>7.0</v>
      </c>
      <c r="C267" s="60">
        <v>5.0</v>
      </c>
      <c r="D267" s="60">
        <v>13.0</v>
      </c>
      <c r="E267" s="60">
        <v>2.0</v>
      </c>
      <c r="F267" s="60">
        <v>1.0</v>
      </c>
      <c r="G267" s="71">
        <v>2.0</v>
      </c>
      <c r="H267" s="73">
        <f t="shared" si="20"/>
        <v>36.5</v>
      </c>
      <c r="L267" s="59"/>
      <c r="M267" s="59"/>
      <c r="N267" s="59"/>
      <c r="T267" s="80"/>
      <c r="U267" s="80"/>
    </row>
    <row r="268">
      <c r="A268" s="36" t="s">
        <v>103</v>
      </c>
      <c r="B268" s="60">
        <v>29.0</v>
      </c>
      <c r="C268" s="60">
        <v>8.0</v>
      </c>
      <c r="D268" s="60">
        <v>8.0</v>
      </c>
      <c r="E268" s="60">
        <v>0.0</v>
      </c>
      <c r="F268" s="60">
        <v>0.0</v>
      </c>
      <c r="G268" s="71">
        <v>2.0</v>
      </c>
      <c r="H268" s="73">
        <f t="shared" si="20"/>
        <v>48.6</v>
      </c>
      <c r="L268" s="59"/>
      <c r="M268" s="59"/>
      <c r="N268" s="59"/>
      <c r="T268" s="80"/>
      <c r="U268" s="80"/>
    </row>
    <row r="269">
      <c r="A269" s="76" t="s">
        <v>50</v>
      </c>
      <c r="B269" s="60">
        <v>22.0</v>
      </c>
      <c r="C269" s="60">
        <v>5.0</v>
      </c>
      <c r="D269" s="60">
        <v>2.0</v>
      </c>
      <c r="E269" s="60">
        <v>0.0</v>
      </c>
      <c r="F269" s="60">
        <v>2.0</v>
      </c>
      <c r="G269" s="71">
        <v>1.0</v>
      </c>
      <c r="H269" s="73">
        <f t="shared" si="20"/>
        <v>34</v>
      </c>
      <c r="L269" s="59"/>
      <c r="M269" s="59"/>
      <c r="N269" s="59"/>
      <c r="T269" s="80"/>
      <c r="U269" s="80"/>
    </row>
    <row r="270">
      <c r="A270" s="36" t="s">
        <v>58</v>
      </c>
      <c r="B270" s="60">
        <v>22.0</v>
      </c>
      <c r="C270" s="60">
        <v>4.0</v>
      </c>
      <c r="D270" s="60">
        <v>5.0</v>
      </c>
      <c r="E270" s="60">
        <v>1.0</v>
      </c>
      <c r="F270" s="60">
        <v>1.0</v>
      </c>
      <c r="G270" s="71">
        <v>1.0</v>
      </c>
      <c r="H270" s="73">
        <f t="shared" si="20"/>
        <v>37.3</v>
      </c>
      <c r="L270" s="59"/>
      <c r="M270" s="59"/>
      <c r="N270" s="59"/>
      <c r="T270" s="80"/>
      <c r="U270" s="80"/>
    </row>
    <row r="271">
      <c r="A271" s="76" t="s">
        <v>46</v>
      </c>
      <c r="B271" s="60">
        <v>3.0</v>
      </c>
      <c r="C271" s="60">
        <v>1.0</v>
      </c>
      <c r="D271" s="60">
        <v>2.0</v>
      </c>
      <c r="E271" s="60">
        <v>1.0</v>
      </c>
      <c r="F271" s="60">
        <v>0.0</v>
      </c>
      <c r="G271" s="71">
        <v>1.0</v>
      </c>
      <c r="H271" s="73">
        <f t="shared" si="20"/>
        <v>8.2</v>
      </c>
      <c r="L271" s="59"/>
      <c r="M271" s="59"/>
      <c r="N271" s="59"/>
      <c r="T271" s="80"/>
      <c r="U271" s="80"/>
    </row>
    <row r="272">
      <c r="A272" s="76" t="s">
        <v>72</v>
      </c>
      <c r="B272" s="60">
        <v>16.0</v>
      </c>
      <c r="C272" s="60">
        <v>5.0</v>
      </c>
      <c r="D272" s="60">
        <v>2.0</v>
      </c>
      <c r="E272" s="60">
        <v>0.0</v>
      </c>
      <c r="F272" s="60">
        <v>1.0</v>
      </c>
      <c r="G272" s="71">
        <v>4.0</v>
      </c>
      <c r="H272" s="73">
        <f t="shared" si="20"/>
        <v>23</v>
      </c>
      <c r="L272" s="59"/>
      <c r="M272" s="59"/>
      <c r="N272" s="59"/>
      <c r="T272" s="80"/>
      <c r="U272" s="80"/>
    </row>
    <row r="273">
      <c r="A273" s="36" t="s">
        <v>97</v>
      </c>
      <c r="B273" s="60">
        <v>16.0</v>
      </c>
      <c r="C273" s="60">
        <v>5.0</v>
      </c>
      <c r="D273" s="60">
        <v>5.0</v>
      </c>
      <c r="E273" s="60">
        <v>5.0</v>
      </c>
      <c r="F273" s="60">
        <v>0.0</v>
      </c>
      <c r="G273" s="71">
        <v>2.0</v>
      </c>
      <c r="H273" s="73">
        <f t="shared" si="20"/>
        <v>37.5</v>
      </c>
      <c r="L273" s="59"/>
      <c r="M273" s="59"/>
      <c r="N273" s="59"/>
      <c r="T273" s="80"/>
      <c r="U273" s="80"/>
    </row>
    <row r="274">
      <c r="A274" s="36" t="s">
        <v>65</v>
      </c>
      <c r="B274" s="60">
        <v>21.0</v>
      </c>
      <c r="C274" s="60">
        <v>14.0</v>
      </c>
      <c r="D274" s="60">
        <v>6.0</v>
      </c>
      <c r="E274" s="60">
        <v>3.0</v>
      </c>
      <c r="F274" s="60">
        <v>0.0</v>
      </c>
      <c r="G274" s="71">
        <v>2.0</v>
      </c>
      <c r="H274" s="73">
        <f t="shared" si="20"/>
        <v>50.8</v>
      </c>
      <c r="L274" s="59"/>
      <c r="M274" s="59"/>
      <c r="N274" s="59"/>
      <c r="T274" s="80"/>
      <c r="U274" s="80"/>
    </row>
    <row r="275">
      <c r="A275" s="76" t="s">
        <v>122</v>
      </c>
      <c r="B275" s="60">
        <v>9.0</v>
      </c>
      <c r="C275" s="60">
        <v>2.0</v>
      </c>
      <c r="D275" s="60">
        <v>2.0</v>
      </c>
      <c r="E275" s="60">
        <v>0.0</v>
      </c>
      <c r="F275" s="60">
        <v>1.0</v>
      </c>
      <c r="G275" s="71">
        <v>3.0</v>
      </c>
      <c r="H275" s="73">
        <f t="shared" si="20"/>
        <v>13.4</v>
      </c>
      <c r="L275" s="59"/>
      <c r="M275" s="59"/>
      <c r="N275" s="59"/>
      <c r="T275" s="80"/>
      <c r="U275" s="80"/>
    </row>
    <row r="276">
      <c r="A276" s="70" t="s">
        <v>107</v>
      </c>
      <c r="B276" s="68">
        <v>0.0</v>
      </c>
      <c r="C276" s="68">
        <v>3.0</v>
      </c>
      <c r="D276" s="68">
        <v>0.0</v>
      </c>
      <c r="E276" s="68">
        <v>0.0</v>
      </c>
      <c r="F276" s="68">
        <v>0.0</v>
      </c>
      <c r="G276" s="79">
        <v>1.0</v>
      </c>
      <c r="H276" s="73">
        <f t="shared" si="20"/>
        <v>2.6</v>
      </c>
      <c r="L276" s="59"/>
      <c r="M276" s="59"/>
      <c r="N276" s="59"/>
      <c r="T276" s="80"/>
      <c r="U276" s="80"/>
    </row>
    <row r="277">
      <c r="A277" s="36" t="s">
        <v>103</v>
      </c>
      <c r="B277" s="60">
        <v>17.0</v>
      </c>
      <c r="C277" s="60">
        <v>7.0</v>
      </c>
      <c r="D277" s="60">
        <v>3.0</v>
      </c>
      <c r="E277" s="60">
        <v>2.0</v>
      </c>
      <c r="F277" s="60">
        <v>0.0</v>
      </c>
      <c r="G277" s="71">
        <v>3.0</v>
      </c>
      <c r="H277" s="72">
        <f t="shared" si="20"/>
        <v>30.9</v>
      </c>
      <c r="L277" s="59"/>
      <c r="M277" s="59"/>
      <c r="N277" s="59"/>
      <c r="T277" s="80"/>
      <c r="U277" s="80"/>
    </row>
    <row r="278">
      <c r="A278" s="76" t="s">
        <v>83</v>
      </c>
      <c r="B278" s="60">
        <v>21.0</v>
      </c>
      <c r="C278" s="60">
        <v>0.0</v>
      </c>
      <c r="D278" s="60">
        <v>6.0</v>
      </c>
      <c r="E278" s="60">
        <v>0.0</v>
      </c>
      <c r="F278" s="60">
        <v>0.0</v>
      </c>
      <c r="G278" s="71">
        <v>0.0</v>
      </c>
      <c r="H278" s="72">
        <f t="shared" si="20"/>
        <v>30</v>
      </c>
      <c r="L278" s="59"/>
      <c r="M278" s="59"/>
      <c r="N278" s="59"/>
      <c r="T278" s="80"/>
      <c r="U278" s="80"/>
    </row>
    <row r="279">
      <c r="A279" s="70" t="s">
        <v>65</v>
      </c>
      <c r="B279" s="60">
        <v>21.0</v>
      </c>
      <c r="C279" s="60">
        <v>14.0</v>
      </c>
      <c r="D279" s="60">
        <v>5.0</v>
      </c>
      <c r="E279" s="60">
        <v>1.0</v>
      </c>
      <c r="F279" s="60">
        <v>1.0</v>
      </c>
      <c r="G279" s="71">
        <v>3.0</v>
      </c>
      <c r="H279" s="72">
        <f t="shared" si="20"/>
        <v>46.3</v>
      </c>
      <c r="L279" s="59"/>
      <c r="M279" s="59"/>
      <c r="N279" s="59"/>
      <c r="T279" s="80"/>
      <c r="U279" s="80"/>
    </row>
    <row r="280">
      <c r="A280" s="76" t="s">
        <v>114</v>
      </c>
      <c r="B280" s="60">
        <v>11.0</v>
      </c>
      <c r="C280" s="60">
        <v>7.0</v>
      </c>
      <c r="D280" s="60">
        <v>1.0</v>
      </c>
      <c r="E280" s="60">
        <v>3.0</v>
      </c>
      <c r="F280" s="60">
        <v>2.0</v>
      </c>
      <c r="G280" s="71">
        <v>2.0</v>
      </c>
      <c r="H280" s="72">
        <f t="shared" si="20"/>
        <v>28.9</v>
      </c>
      <c r="L280" s="59"/>
      <c r="M280" s="59"/>
      <c r="N280" s="59"/>
      <c r="T280" s="80"/>
      <c r="U280" s="80"/>
    </row>
    <row r="281">
      <c r="A281" s="36" t="s">
        <v>120</v>
      </c>
      <c r="B281" s="77">
        <v>16.0</v>
      </c>
      <c r="C281" s="77">
        <v>6.0</v>
      </c>
      <c r="D281" s="77">
        <v>0.0</v>
      </c>
      <c r="E281" s="77">
        <v>0.0</v>
      </c>
      <c r="F281" s="77">
        <v>1.0</v>
      </c>
      <c r="G281" s="78">
        <v>3.0</v>
      </c>
      <c r="H281" s="72">
        <f t="shared" si="20"/>
        <v>22.2</v>
      </c>
      <c r="L281" s="59"/>
      <c r="M281" s="59"/>
      <c r="N281" s="59"/>
      <c r="T281" s="80"/>
      <c r="U281" s="80"/>
    </row>
    <row r="282">
      <c r="A282" s="76" t="s">
        <v>74</v>
      </c>
      <c r="B282" s="60">
        <v>22.0</v>
      </c>
      <c r="C282" s="60">
        <v>10.0</v>
      </c>
      <c r="D282" s="60">
        <v>7.0</v>
      </c>
      <c r="E282" s="60">
        <v>2.0</v>
      </c>
      <c r="F282" s="60">
        <v>2.0</v>
      </c>
      <c r="G282" s="71">
        <v>2.0</v>
      </c>
      <c r="H282" s="73">
        <f t="shared" si="20"/>
        <v>50.5</v>
      </c>
      <c r="L282" s="59"/>
      <c r="M282" s="59"/>
      <c r="N282" s="59"/>
      <c r="T282" s="80"/>
      <c r="U282" s="80"/>
    </row>
    <row r="283">
      <c r="A283" s="76" t="s">
        <v>94</v>
      </c>
      <c r="B283" s="60">
        <v>9.0</v>
      </c>
      <c r="C283" s="60">
        <v>3.0</v>
      </c>
      <c r="D283" s="60">
        <v>2.0</v>
      </c>
      <c r="E283" s="60">
        <v>0.0</v>
      </c>
      <c r="F283" s="60">
        <v>1.0</v>
      </c>
      <c r="G283" s="71">
        <v>2.0</v>
      </c>
      <c r="H283" s="73">
        <f t="shared" si="20"/>
        <v>15.6</v>
      </c>
      <c r="L283" s="59"/>
      <c r="M283" s="59"/>
      <c r="N283" s="59"/>
      <c r="T283" s="80"/>
      <c r="U283" s="80"/>
    </row>
    <row r="284">
      <c r="A284" s="76" t="s">
        <v>111</v>
      </c>
      <c r="B284" s="60">
        <v>15.0</v>
      </c>
      <c r="C284" s="60">
        <v>6.0</v>
      </c>
      <c r="D284" s="60">
        <v>4.0</v>
      </c>
      <c r="E284" s="60">
        <v>1.0</v>
      </c>
      <c r="F284" s="60">
        <v>0.0</v>
      </c>
      <c r="G284" s="71">
        <v>2.0</v>
      </c>
      <c r="H284" s="73">
        <f t="shared" si="20"/>
        <v>28.2</v>
      </c>
      <c r="L284" s="59"/>
      <c r="M284" s="59"/>
      <c r="N284" s="59"/>
      <c r="T284" s="80"/>
      <c r="U284" s="80"/>
    </row>
    <row r="285">
      <c r="A285" s="76" t="s">
        <v>77</v>
      </c>
      <c r="B285" s="60">
        <v>24.0</v>
      </c>
      <c r="C285" s="60">
        <v>9.0</v>
      </c>
      <c r="D285" s="60">
        <v>3.0</v>
      </c>
      <c r="E285" s="60">
        <v>1.0</v>
      </c>
      <c r="F285" s="60">
        <v>1.0</v>
      </c>
      <c r="G285" s="71">
        <v>0.0</v>
      </c>
      <c r="H285" s="73">
        <f t="shared" si="20"/>
        <v>43.3</v>
      </c>
      <c r="L285" s="59"/>
      <c r="M285" s="59"/>
      <c r="N285" s="59"/>
      <c r="T285" s="80"/>
      <c r="U285" s="80"/>
    </row>
    <row r="286">
      <c r="A286" s="70" t="s">
        <v>135</v>
      </c>
      <c r="B286" s="77">
        <v>11.0</v>
      </c>
      <c r="C286" s="77">
        <v>4.0</v>
      </c>
      <c r="D286" s="77">
        <v>1.0</v>
      </c>
      <c r="E286" s="77">
        <v>0.0</v>
      </c>
      <c r="F286" s="77">
        <v>0.0</v>
      </c>
      <c r="G286" s="78">
        <v>1.0</v>
      </c>
      <c r="H286" s="73">
        <f t="shared" si="20"/>
        <v>16.3</v>
      </c>
      <c r="L286" s="59"/>
      <c r="M286" s="59"/>
      <c r="N286" s="59"/>
      <c r="T286" s="80"/>
      <c r="U286" s="80"/>
    </row>
    <row r="287">
      <c r="A287" s="36" t="s">
        <v>87</v>
      </c>
      <c r="B287" s="60">
        <v>33.0</v>
      </c>
      <c r="C287" s="60">
        <v>5.0</v>
      </c>
      <c r="D287" s="60">
        <v>4.0</v>
      </c>
      <c r="E287" s="60">
        <v>1.0</v>
      </c>
      <c r="F287" s="60">
        <v>0.0</v>
      </c>
      <c r="G287" s="71">
        <v>0.0</v>
      </c>
      <c r="H287" s="73">
        <f t="shared" si="20"/>
        <v>47</v>
      </c>
      <c r="L287" s="59"/>
      <c r="M287" s="59"/>
      <c r="N287" s="59"/>
      <c r="T287" s="80"/>
      <c r="U287" s="80"/>
    </row>
    <row r="288">
      <c r="A288" s="36" t="s">
        <v>109</v>
      </c>
      <c r="B288" s="60">
        <v>8.0</v>
      </c>
      <c r="C288" s="60">
        <v>4.0</v>
      </c>
      <c r="D288" s="60">
        <v>1.0</v>
      </c>
      <c r="E288" s="60">
        <v>0.0</v>
      </c>
      <c r="F288" s="60">
        <v>1.0</v>
      </c>
      <c r="G288" s="71">
        <v>0.0</v>
      </c>
      <c r="H288" s="73">
        <f t="shared" si="20"/>
        <v>16.3</v>
      </c>
      <c r="L288" s="59"/>
      <c r="M288" s="59"/>
      <c r="N288" s="59"/>
      <c r="T288" s="80"/>
      <c r="U288" s="80"/>
    </row>
    <row r="289">
      <c r="A289" s="76" t="s">
        <v>91</v>
      </c>
      <c r="B289" s="60">
        <v>20.0</v>
      </c>
      <c r="C289" s="60">
        <v>10.0</v>
      </c>
      <c r="D289" s="60">
        <v>2.0</v>
      </c>
      <c r="E289" s="60">
        <v>2.0</v>
      </c>
      <c r="F289" s="60">
        <v>0.0</v>
      </c>
      <c r="G289" s="71">
        <v>4.0</v>
      </c>
      <c r="H289" s="73">
        <f t="shared" si="20"/>
        <v>35</v>
      </c>
      <c r="L289" s="59"/>
      <c r="M289" s="59"/>
      <c r="N289" s="59"/>
      <c r="T289" s="80"/>
      <c r="U289" s="80"/>
    </row>
    <row r="290">
      <c r="A290" s="36" t="s">
        <v>105</v>
      </c>
      <c r="B290" s="60">
        <v>12.0</v>
      </c>
      <c r="C290" s="60">
        <v>5.0</v>
      </c>
      <c r="D290" s="60">
        <v>1.0</v>
      </c>
      <c r="E290" s="60">
        <v>2.0</v>
      </c>
      <c r="F290" s="60">
        <v>0.0</v>
      </c>
      <c r="G290" s="71">
        <v>1.0</v>
      </c>
      <c r="H290" s="73">
        <f t="shared" si="20"/>
        <v>22.5</v>
      </c>
      <c r="L290" s="59"/>
      <c r="M290" s="59"/>
      <c r="N290" s="59"/>
      <c r="T290" s="80"/>
      <c r="U290" s="80"/>
    </row>
    <row r="291">
      <c r="A291" s="76" t="s">
        <v>132</v>
      </c>
      <c r="B291" s="60">
        <v>7.0</v>
      </c>
      <c r="C291" s="60">
        <v>5.0</v>
      </c>
      <c r="D291" s="60">
        <v>2.0</v>
      </c>
      <c r="E291" s="60">
        <v>1.0</v>
      </c>
      <c r="F291" s="60">
        <v>1.0</v>
      </c>
      <c r="G291" s="71">
        <v>2.0</v>
      </c>
      <c r="H291" s="73">
        <f t="shared" si="20"/>
        <v>18</v>
      </c>
      <c r="L291" s="59"/>
      <c r="M291" s="59"/>
      <c r="N291" s="59"/>
      <c r="T291" s="80"/>
      <c r="U291" s="80"/>
    </row>
    <row r="292">
      <c r="A292" s="76" t="s">
        <v>92</v>
      </c>
      <c r="B292" s="60">
        <v>22.0</v>
      </c>
      <c r="C292" s="60">
        <v>3.0</v>
      </c>
      <c r="D292" s="60">
        <v>13.0</v>
      </c>
      <c r="E292" s="60">
        <v>1.0</v>
      </c>
      <c r="F292" s="60">
        <v>3.0</v>
      </c>
      <c r="G292" s="71">
        <v>1.0</v>
      </c>
      <c r="H292" s="73">
        <f t="shared" si="20"/>
        <v>52.1</v>
      </c>
      <c r="L292" s="59"/>
      <c r="M292" s="59"/>
      <c r="N292" s="59"/>
      <c r="T292" s="80"/>
      <c r="U292" s="80"/>
    </row>
    <row r="293">
      <c r="A293" s="36" t="s">
        <v>117</v>
      </c>
      <c r="B293" s="60">
        <v>21.0</v>
      </c>
      <c r="C293" s="60">
        <v>3.0</v>
      </c>
      <c r="D293" s="60">
        <v>8.0</v>
      </c>
      <c r="E293" s="60">
        <v>1.0</v>
      </c>
      <c r="F293" s="60">
        <v>0.0</v>
      </c>
      <c r="G293" s="71">
        <v>1.0</v>
      </c>
      <c r="H293" s="73">
        <f t="shared" si="20"/>
        <v>37.6</v>
      </c>
      <c r="L293" s="59"/>
      <c r="M293" s="59"/>
      <c r="N293" s="59"/>
      <c r="T293" s="80"/>
      <c r="U293" s="80"/>
    </row>
    <row r="294">
      <c r="A294" s="36" t="s">
        <v>76</v>
      </c>
      <c r="B294" s="60">
        <v>20.0</v>
      </c>
      <c r="C294" s="60">
        <v>8.0</v>
      </c>
      <c r="D294" s="60">
        <v>7.0</v>
      </c>
      <c r="E294" s="60">
        <v>1.0</v>
      </c>
      <c r="F294" s="60">
        <v>0.0</v>
      </c>
      <c r="G294" s="71">
        <v>1.0</v>
      </c>
      <c r="H294" s="73">
        <f t="shared" si="20"/>
        <v>41.1</v>
      </c>
      <c r="L294" s="59"/>
      <c r="M294" s="59"/>
      <c r="N294" s="59"/>
      <c r="T294" s="80"/>
      <c r="U294" s="80"/>
    </row>
    <row r="295">
      <c r="A295" s="76" t="s">
        <v>126</v>
      </c>
      <c r="B295" s="60">
        <v>16.0</v>
      </c>
      <c r="C295" s="60">
        <v>6.0</v>
      </c>
      <c r="D295" s="60">
        <v>5.0</v>
      </c>
      <c r="E295" s="60">
        <v>1.0</v>
      </c>
      <c r="F295" s="60">
        <v>2.0</v>
      </c>
      <c r="G295" s="71">
        <v>1.0</v>
      </c>
      <c r="H295" s="73">
        <f t="shared" si="20"/>
        <v>35.7</v>
      </c>
      <c r="L295" s="59"/>
      <c r="M295" s="59"/>
      <c r="N295" s="59"/>
      <c r="T295" s="80"/>
      <c r="U295" s="80"/>
    </row>
    <row r="296">
      <c r="A296" s="70" t="s">
        <v>102</v>
      </c>
      <c r="B296" s="68">
        <v>7.0</v>
      </c>
      <c r="C296" s="68">
        <v>7.0</v>
      </c>
      <c r="D296" s="68">
        <v>3.0</v>
      </c>
      <c r="E296" s="68">
        <v>2.0</v>
      </c>
      <c r="F296" s="68">
        <v>1.0</v>
      </c>
      <c r="G296" s="79">
        <v>0.0</v>
      </c>
      <c r="H296" s="73">
        <f t="shared" si="20"/>
        <v>25.9</v>
      </c>
      <c r="L296" s="59"/>
      <c r="M296" s="59"/>
      <c r="N296" s="59"/>
      <c r="T296" s="80"/>
      <c r="U296" s="80"/>
    </row>
    <row r="297">
      <c r="A297" s="36" t="s">
        <v>72</v>
      </c>
      <c r="B297" s="60">
        <v>21.0</v>
      </c>
      <c r="C297" s="60">
        <v>6.0</v>
      </c>
      <c r="D297" s="60">
        <v>6.0</v>
      </c>
      <c r="E297" s="60">
        <v>1.0</v>
      </c>
      <c r="F297" s="60">
        <v>0.0</v>
      </c>
      <c r="G297" s="71">
        <v>4.0</v>
      </c>
      <c r="H297" s="72">
        <f t="shared" si="20"/>
        <v>35.2</v>
      </c>
      <c r="L297" s="59"/>
      <c r="M297" s="59"/>
      <c r="N297" s="59"/>
      <c r="T297" s="80"/>
      <c r="U297" s="80"/>
    </row>
    <row r="298">
      <c r="A298" s="76" t="s">
        <v>97</v>
      </c>
      <c r="B298" s="60">
        <v>18.0</v>
      </c>
      <c r="C298" s="60">
        <v>2.0</v>
      </c>
      <c r="D298" s="60">
        <v>2.0</v>
      </c>
      <c r="E298" s="60">
        <v>0.0</v>
      </c>
      <c r="F298" s="60">
        <v>0.0</v>
      </c>
      <c r="G298" s="71">
        <v>3.0</v>
      </c>
      <c r="H298" s="72">
        <f t="shared" si="20"/>
        <v>20.4</v>
      </c>
      <c r="L298" s="59"/>
      <c r="M298" s="59"/>
      <c r="N298" s="59"/>
      <c r="T298" s="80"/>
      <c r="U298" s="80"/>
    </row>
    <row r="299">
      <c r="A299" s="70" t="s">
        <v>66</v>
      </c>
      <c r="B299" s="60">
        <v>42.0</v>
      </c>
      <c r="C299" s="60">
        <v>22.0</v>
      </c>
      <c r="D299" s="60">
        <v>6.0</v>
      </c>
      <c r="E299" s="60">
        <v>1.0</v>
      </c>
      <c r="F299" s="60">
        <v>2.0</v>
      </c>
      <c r="G299" s="71">
        <v>7.0</v>
      </c>
      <c r="H299" s="72">
        <f t="shared" si="20"/>
        <v>76.4</v>
      </c>
      <c r="L299" s="59"/>
      <c r="M299" s="59"/>
      <c r="N299" s="59"/>
      <c r="T299" s="80"/>
      <c r="U299" s="80"/>
    </row>
    <row r="300">
      <c r="A300" s="76" t="s">
        <v>101</v>
      </c>
      <c r="B300" s="60">
        <v>12.0</v>
      </c>
      <c r="C300" s="60">
        <v>6.0</v>
      </c>
      <c r="D300" s="60">
        <v>2.0</v>
      </c>
      <c r="E300" s="60">
        <v>1.0</v>
      </c>
      <c r="F300" s="60">
        <v>4.0</v>
      </c>
      <c r="G300" s="71">
        <v>2.0</v>
      </c>
      <c r="H300" s="72">
        <f t="shared" si="20"/>
        <v>30.2</v>
      </c>
      <c r="L300" s="59"/>
      <c r="M300" s="59"/>
      <c r="N300" s="59"/>
      <c r="T300" s="80"/>
      <c r="U300" s="80"/>
    </row>
    <row r="301">
      <c r="A301" s="36" t="s">
        <v>85</v>
      </c>
      <c r="B301" s="77">
        <v>2.0</v>
      </c>
      <c r="C301" s="77">
        <v>4.0</v>
      </c>
      <c r="D301" s="77">
        <v>0.0</v>
      </c>
      <c r="E301" s="77">
        <v>1.0</v>
      </c>
      <c r="F301" s="77">
        <v>1.0</v>
      </c>
      <c r="G301" s="78">
        <v>1.0</v>
      </c>
      <c r="H301" s="72">
        <f t="shared" si="20"/>
        <v>9.8</v>
      </c>
      <c r="L301" s="59"/>
      <c r="M301" s="59"/>
      <c r="N301" s="59"/>
      <c r="T301" s="80"/>
      <c r="U301" s="80"/>
    </row>
    <row r="302">
      <c r="A302" s="76" t="s">
        <v>73</v>
      </c>
      <c r="B302" s="60">
        <v>33.0</v>
      </c>
      <c r="C302" s="60">
        <v>10.0</v>
      </c>
      <c r="D302" s="60">
        <v>8.0</v>
      </c>
      <c r="E302" s="60">
        <v>2.0</v>
      </c>
      <c r="F302" s="60">
        <v>1.0</v>
      </c>
      <c r="G302" s="71">
        <v>1.0</v>
      </c>
      <c r="H302" s="73">
        <f t="shared" si="20"/>
        <v>62</v>
      </c>
      <c r="L302" s="59"/>
      <c r="M302" s="59"/>
      <c r="N302" s="59"/>
      <c r="T302" s="80"/>
      <c r="U302" s="80"/>
    </row>
    <row r="303">
      <c r="A303" s="76" t="s">
        <v>100</v>
      </c>
      <c r="B303" s="60">
        <v>8.0</v>
      </c>
      <c r="C303" s="60">
        <v>6.0</v>
      </c>
      <c r="D303" s="60">
        <v>7.0</v>
      </c>
      <c r="E303" s="60">
        <v>3.0</v>
      </c>
      <c r="F303" s="60">
        <v>2.0</v>
      </c>
      <c r="G303" s="71">
        <v>1.0</v>
      </c>
      <c r="H303" s="73">
        <f t="shared" si="20"/>
        <v>34.7</v>
      </c>
      <c r="L303" s="59"/>
      <c r="M303" s="59"/>
      <c r="N303" s="59"/>
      <c r="T303" s="80"/>
      <c r="U303" s="80"/>
    </row>
    <row r="304">
      <c r="A304" s="76" t="s">
        <v>80</v>
      </c>
      <c r="B304" s="60">
        <v>16.0</v>
      </c>
      <c r="C304" s="60">
        <v>7.0</v>
      </c>
      <c r="D304" s="60">
        <v>4.0</v>
      </c>
      <c r="E304" s="60">
        <v>2.0</v>
      </c>
      <c r="F304" s="60">
        <v>2.0</v>
      </c>
      <c r="G304" s="71">
        <v>1.0</v>
      </c>
      <c r="H304" s="73">
        <f t="shared" si="20"/>
        <v>37.4</v>
      </c>
      <c r="L304" s="59"/>
      <c r="M304" s="59"/>
      <c r="N304" s="59"/>
      <c r="T304" s="80"/>
      <c r="U304" s="80"/>
    </row>
    <row r="305">
      <c r="A305" s="76" t="s">
        <v>89</v>
      </c>
      <c r="B305" s="60">
        <v>14.0</v>
      </c>
      <c r="C305" s="60">
        <v>11.0</v>
      </c>
      <c r="D305" s="60">
        <v>3.0</v>
      </c>
      <c r="E305" s="60">
        <v>2.0</v>
      </c>
      <c r="F305" s="60">
        <v>0.0</v>
      </c>
      <c r="G305" s="71">
        <v>1.0</v>
      </c>
      <c r="H305" s="73">
        <f t="shared" si="20"/>
        <v>34.7</v>
      </c>
      <c r="L305" s="59"/>
      <c r="M305" s="59"/>
      <c r="N305" s="59"/>
      <c r="T305" s="80"/>
      <c r="U305" s="80"/>
    </row>
    <row r="306">
      <c r="A306" s="70" t="s">
        <v>121</v>
      </c>
      <c r="B306" s="77">
        <v>12.0</v>
      </c>
      <c r="C306" s="77">
        <v>9.0</v>
      </c>
      <c r="D306" s="77">
        <v>1.0</v>
      </c>
      <c r="E306" s="77">
        <v>0.0</v>
      </c>
      <c r="F306" s="77">
        <v>1.0</v>
      </c>
      <c r="G306" s="78">
        <v>2.0</v>
      </c>
      <c r="H306" s="73">
        <f t="shared" si="20"/>
        <v>24.3</v>
      </c>
      <c r="L306" s="59"/>
      <c r="M306" s="59"/>
      <c r="N306" s="59"/>
      <c r="T306" s="80"/>
      <c r="U306" s="80"/>
    </row>
    <row r="307">
      <c r="A307" s="36" t="s">
        <v>93</v>
      </c>
      <c r="B307" s="60">
        <v>19.0</v>
      </c>
      <c r="C307" s="60">
        <v>11.0</v>
      </c>
      <c r="D307" s="60">
        <v>2.0</v>
      </c>
      <c r="E307" s="60">
        <v>0.0</v>
      </c>
      <c r="F307" s="60">
        <v>2.0</v>
      </c>
      <c r="G307" s="71">
        <v>2.0</v>
      </c>
      <c r="H307" s="73">
        <f t="shared" si="20"/>
        <v>37.2</v>
      </c>
      <c r="L307" s="59"/>
      <c r="M307" s="59"/>
      <c r="N307" s="59"/>
      <c r="T307" s="80"/>
      <c r="U307" s="80"/>
    </row>
    <row r="308">
      <c r="A308" s="36" t="s">
        <v>113</v>
      </c>
      <c r="B308" s="60">
        <v>11.0</v>
      </c>
      <c r="C308" s="60">
        <v>13.0</v>
      </c>
      <c r="D308" s="60">
        <v>3.0</v>
      </c>
      <c r="E308" s="60">
        <v>1.0</v>
      </c>
      <c r="F308" s="60">
        <v>0.0</v>
      </c>
      <c r="G308" s="71">
        <v>1.0</v>
      </c>
      <c r="H308" s="73">
        <f t="shared" si="20"/>
        <v>32.1</v>
      </c>
      <c r="L308" s="59"/>
      <c r="M308" s="59"/>
      <c r="N308" s="59"/>
      <c r="T308" s="80"/>
      <c r="U308" s="80"/>
    </row>
    <row r="309">
      <c r="A309" s="76" t="s">
        <v>98</v>
      </c>
      <c r="B309" s="60">
        <v>23.0</v>
      </c>
      <c r="C309" s="60">
        <v>7.0</v>
      </c>
      <c r="D309" s="60">
        <v>5.0</v>
      </c>
      <c r="E309" s="60">
        <v>0.0</v>
      </c>
      <c r="F309" s="60">
        <v>0.0</v>
      </c>
      <c r="G309" s="71">
        <v>2.0</v>
      </c>
      <c r="H309" s="73">
        <f t="shared" si="20"/>
        <v>36.9</v>
      </c>
      <c r="L309" s="59"/>
      <c r="M309" s="59"/>
      <c r="N309" s="59"/>
      <c r="T309" s="80"/>
      <c r="U309" s="80"/>
    </row>
    <row r="310">
      <c r="A310" s="36" t="s">
        <v>69</v>
      </c>
      <c r="B310" s="60">
        <v>23.0</v>
      </c>
      <c r="C310" s="60">
        <v>16.0</v>
      </c>
      <c r="D310" s="60">
        <v>6.0</v>
      </c>
      <c r="E310" s="60">
        <v>2.0</v>
      </c>
      <c r="F310" s="60">
        <v>1.0</v>
      </c>
      <c r="G310" s="71">
        <v>5.0</v>
      </c>
      <c r="H310" s="73">
        <f t="shared" si="20"/>
        <v>52.2</v>
      </c>
      <c r="L310" s="59"/>
      <c r="M310" s="59"/>
      <c r="N310" s="59"/>
      <c r="T310" s="80"/>
      <c r="U310" s="80"/>
    </row>
    <row r="311">
      <c r="A311" s="76" t="s">
        <v>82</v>
      </c>
      <c r="B311" s="60">
        <v>29.0</v>
      </c>
      <c r="C311" s="60">
        <v>4.0</v>
      </c>
      <c r="D311" s="60">
        <v>3.0</v>
      </c>
      <c r="E311" s="60">
        <v>1.0</v>
      </c>
      <c r="F311" s="60">
        <v>0.0</v>
      </c>
      <c r="G311" s="71">
        <v>3.0</v>
      </c>
      <c r="H311" s="73">
        <f t="shared" si="20"/>
        <v>37.3</v>
      </c>
      <c r="L311" s="59"/>
      <c r="M311" s="59"/>
      <c r="N311" s="59"/>
      <c r="T311" s="80"/>
      <c r="U311" s="80"/>
    </row>
    <row r="312">
      <c r="A312" s="76" t="s">
        <v>84</v>
      </c>
      <c r="B312" s="60">
        <v>29.0</v>
      </c>
      <c r="C312" s="60">
        <v>4.0</v>
      </c>
      <c r="D312" s="60">
        <v>5.0</v>
      </c>
      <c r="E312" s="60">
        <v>2.0</v>
      </c>
      <c r="F312" s="60">
        <v>0.0</v>
      </c>
      <c r="G312" s="71">
        <v>4.0</v>
      </c>
      <c r="H312" s="73">
        <f t="shared" si="20"/>
        <v>41.3</v>
      </c>
      <c r="L312" s="59"/>
      <c r="M312" s="59"/>
      <c r="N312" s="59"/>
      <c r="T312" s="80"/>
      <c r="U312" s="80"/>
    </row>
    <row r="313">
      <c r="A313" s="36" t="s">
        <v>129</v>
      </c>
      <c r="B313" s="60">
        <v>16.0</v>
      </c>
      <c r="C313" s="60">
        <v>6.0</v>
      </c>
      <c r="D313" s="60">
        <v>3.0</v>
      </c>
      <c r="E313" s="60">
        <v>1.0</v>
      </c>
      <c r="F313" s="60">
        <v>0.0</v>
      </c>
      <c r="G313" s="71">
        <v>1.0</v>
      </c>
      <c r="H313" s="73">
        <f t="shared" si="20"/>
        <v>28.7</v>
      </c>
      <c r="L313" s="59"/>
      <c r="M313" s="59"/>
      <c r="N313" s="59"/>
      <c r="T313" s="80"/>
      <c r="U313" s="80"/>
    </row>
    <row r="314">
      <c r="A314" s="36" t="s">
        <v>70</v>
      </c>
      <c r="B314" s="60">
        <v>14.0</v>
      </c>
      <c r="C314" s="60">
        <v>13.0</v>
      </c>
      <c r="D314" s="60">
        <v>0.0</v>
      </c>
      <c r="E314" s="60">
        <v>1.0</v>
      </c>
      <c r="F314" s="60">
        <v>0.0</v>
      </c>
      <c r="G314" s="71">
        <v>2.0</v>
      </c>
      <c r="H314" s="73">
        <f t="shared" si="20"/>
        <v>29.6</v>
      </c>
      <c r="L314" s="59"/>
      <c r="M314" s="59"/>
      <c r="N314" s="59"/>
      <c r="T314" s="80"/>
      <c r="U314" s="80"/>
    </row>
    <row r="315">
      <c r="A315" s="76" t="s">
        <v>45</v>
      </c>
      <c r="B315" s="60">
        <v>0.0</v>
      </c>
      <c r="C315" s="60">
        <v>4.0</v>
      </c>
      <c r="D315" s="60">
        <v>1.0</v>
      </c>
      <c r="E315" s="60">
        <v>0.0</v>
      </c>
      <c r="F315" s="60">
        <v>0.0</v>
      </c>
      <c r="G315" s="71">
        <v>1.0</v>
      </c>
      <c r="H315" s="73">
        <f t="shared" si="20"/>
        <v>5.3</v>
      </c>
      <c r="L315" s="59"/>
      <c r="M315" s="59"/>
      <c r="N315" s="59"/>
      <c r="T315" s="80"/>
      <c r="U315" s="80"/>
    </row>
    <row r="316">
      <c r="A316" s="70" t="s">
        <v>58</v>
      </c>
      <c r="B316" s="68">
        <v>22.0</v>
      </c>
      <c r="C316" s="68">
        <v>14.0</v>
      </c>
      <c r="D316" s="68">
        <v>1.0</v>
      </c>
      <c r="E316" s="68">
        <v>0.0</v>
      </c>
      <c r="F316" s="68">
        <v>0.0</v>
      </c>
      <c r="G316" s="79">
        <v>1.0</v>
      </c>
      <c r="H316" s="73">
        <f t="shared" si="20"/>
        <v>39.3</v>
      </c>
      <c r="L316" s="59"/>
      <c r="M316" s="59"/>
      <c r="N316" s="59"/>
      <c r="T316" s="80"/>
      <c r="U316" s="80"/>
    </row>
    <row r="317">
      <c r="A317" s="36" t="s">
        <v>78</v>
      </c>
      <c r="B317" s="60">
        <v>23.0</v>
      </c>
      <c r="C317" s="60">
        <v>14.0</v>
      </c>
      <c r="D317" s="60">
        <v>2.0</v>
      </c>
      <c r="E317" s="60">
        <v>3.0</v>
      </c>
      <c r="F317" s="60">
        <v>1.0</v>
      </c>
      <c r="G317" s="71">
        <v>3.0</v>
      </c>
      <c r="H317" s="72">
        <f t="shared" si="20"/>
        <v>47.8</v>
      </c>
      <c r="L317" s="59"/>
      <c r="M317" s="59"/>
      <c r="N317" s="59"/>
      <c r="T317" s="80"/>
      <c r="U317" s="80"/>
    </row>
    <row r="318">
      <c r="A318" s="76" t="s">
        <v>117</v>
      </c>
      <c r="B318" s="60">
        <v>2.0</v>
      </c>
      <c r="C318" s="60">
        <v>2.0</v>
      </c>
      <c r="D318" s="60">
        <v>3.0</v>
      </c>
      <c r="E318" s="60">
        <v>0.0</v>
      </c>
      <c r="F318" s="60">
        <v>0.0</v>
      </c>
      <c r="G318" s="71">
        <v>2.0</v>
      </c>
      <c r="H318" s="72">
        <f t="shared" si="20"/>
        <v>6.9</v>
      </c>
      <c r="L318" s="59"/>
      <c r="M318" s="59"/>
      <c r="N318" s="59"/>
      <c r="T318" s="80"/>
      <c r="U318" s="80"/>
    </row>
    <row r="319">
      <c r="A319" s="70" t="s">
        <v>111</v>
      </c>
      <c r="B319" s="60">
        <v>12.0</v>
      </c>
      <c r="C319" s="60">
        <v>6.0</v>
      </c>
      <c r="D319" s="60">
        <v>4.0</v>
      </c>
      <c r="E319" s="60">
        <v>0.0</v>
      </c>
      <c r="F319" s="60">
        <v>0.0</v>
      </c>
      <c r="G319" s="71">
        <v>2.0</v>
      </c>
      <c r="H319" s="72">
        <f t="shared" si="20"/>
        <v>23.2</v>
      </c>
      <c r="L319" s="59"/>
      <c r="M319" s="59"/>
      <c r="N319" s="59"/>
      <c r="T319" s="80"/>
      <c r="U319" s="80"/>
    </row>
    <row r="320">
      <c r="A320" s="76" t="s">
        <v>114</v>
      </c>
      <c r="B320" s="60">
        <v>23.0</v>
      </c>
      <c r="C320" s="60">
        <v>8.0</v>
      </c>
      <c r="D320" s="60">
        <v>1.0</v>
      </c>
      <c r="E320" s="60">
        <v>1.0</v>
      </c>
      <c r="F320" s="60">
        <v>5.0</v>
      </c>
      <c r="G320" s="71">
        <v>1.0</v>
      </c>
      <c r="H320" s="72">
        <f t="shared" si="20"/>
        <v>45.1</v>
      </c>
      <c r="L320" s="59"/>
      <c r="M320" s="59"/>
      <c r="N320" s="59"/>
      <c r="T320" s="80"/>
      <c r="U320" s="80"/>
    </row>
    <row r="321">
      <c r="A321" s="36" t="s">
        <v>102</v>
      </c>
      <c r="B321" s="77">
        <v>23.0</v>
      </c>
      <c r="C321" s="77">
        <v>8.0</v>
      </c>
      <c r="D321" s="77">
        <v>4.0</v>
      </c>
      <c r="E321" s="77">
        <v>0.0</v>
      </c>
      <c r="F321" s="77">
        <v>0.0</v>
      </c>
      <c r="G321" s="78">
        <v>2.0</v>
      </c>
      <c r="H321" s="72">
        <f t="shared" si="20"/>
        <v>36.6</v>
      </c>
      <c r="L321" s="59"/>
      <c r="M321" s="59"/>
      <c r="N321" s="59"/>
      <c r="T321" s="80"/>
      <c r="U321" s="80"/>
    </row>
    <row r="322">
      <c r="A322" s="76" t="s">
        <v>87</v>
      </c>
      <c r="B322" s="60">
        <v>48.0</v>
      </c>
      <c r="C322" s="60">
        <v>5.0</v>
      </c>
      <c r="D322" s="60">
        <v>9.0</v>
      </c>
      <c r="E322" s="60">
        <v>4.0</v>
      </c>
      <c r="F322" s="60">
        <v>1.0</v>
      </c>
      <c r="G322" s="71">
        <v>5.0</v>
      </c>
      <c r="H322" s="73">
        <f t="shared" si="20"/>
        <v>72.5</v>
      </c>
      <c r="L322" s="59"/>
      <c r="M322" s="59"/>
      <c r="N322" s="59"/>
      <c r="T322" s="80"/>
      <c r="U322" s="80"/>
    </row>
    <row r="323">
      <c r="A323" s="76" t="s">
        <v>83</v>
      </c>
      <c r="B323" s="60">
        <v>13.0</v>
      </c>
      <c r="C323" s="60">
        <v>7.0</v>
      </c>
      <c r="D323" s="60">
        <v>13.0</v>
      </c>
      <c r="E323" s="60">
        <v>2.0</v>
      </c>
      <c r="F323" s="60">
        <v>0.0</v>
      </c>
      <c r="G323" s="71">
        <v>8.0</v>
      </c>
      <c r="H323" s="73">
        <f t="shared" si="20"/>
        <v>36.9</v>
      </c>
      <c r="L323" s="59"/>
      <c r="M323" s="59"/>
      <c r="N323" s="59"/>
      <c r="T323" s="80"/>
      <c r="U323" s="80"/>
    </row>
    <row r="324">
      <c r="A324" s="76" t="s">
        <v>105</v>
      </c>
      <c r="B324" s="60">
        <v>22.0</v>
      </c>
      <c r="C324" s="60">
        <v>12.0</v>
      </c>
      <c r="D324" s="60">
        <v>3.0</v>
      </c>
      <c r="E324" s="60">
        <v>0.0</v>
      </c>
      <c r="F324" s="60">
        <v>3.0</v>
      </c>
      <c r="G324" s="71">
        <v>4.0</v>
      </c>
      <c r="H324" s="73">
        <f t="shared" si="20"/>
        <v>42.9</v>
      </c>
      <c r="L324" s="59"/>
      <c r="M324" s="59"/>
      <c r="N324" s="59"/>
      <c r="T324" s="80"/>
      <c r="U324" s="80"/>
    </row>
    <row r="325">
      <c r="A325" s="76" t="s">
        <v>81</v>
      </c>
      <c r="B325" s="60">
        <v>9.0</v>
      </c>
      <c r="C325" s="60">
        <v>11.0</v>
      </c>
      <c r="D325" s="60">
        <v>0.0</v>
      </c>
      <c r="E325" s="60">
        <v>0.0</v>
      </c>
      <c r="F325" s="60">
        <v>3.0</v>
      </c>
      <c r="G325" s="71">
        <v>1.0</v>
      </c>
      <c r="H325" s="73">
        <f t="shared" si="20"/>
        <v>27.2</v>
      </c>
      <c r="L325" s="59"/>
      <c r="M325" s="59"/>
      <c r="N325" s="59"/>
      <c r="T325" s="80"/>
      <c r="U325" s="80"/>
    </row>
    <row r="326">
      <c r="A326" s="70" t="s">
        <v>107</v>
      </c>
      <c r="B326" s="77">
        <v>24.0</v>
      </c>
      <c r="C326" s="77">
        <v>8.0</v>
      </c>
      <c r="D326" s="77">
        <v>3.0</v>
      </c>
      <c r="E326" s="77">
        <v>1.0</v>
      </c>
      <c r="F326" s="77">
        <v>0.0</v>
      </c>
      <c r="G326" s="78">
        <v>0.0</v>
      </c>
      <c r="H326" s="73">
        <f t="shared" si="20"/>
        <v>40.1</v>
      </c>
      <c r="L326" s="59"/>
      <c r="M326" s="59"/>
      <c r="N326" s="59"/>
      <c r="T326" s="80"/>
      <c r="U326" s="80"/>
    </row>
    <row r="327">
      <c r="A327" s="36" t="s">
        <v>92</v>
      </c>
      <c r="B327" s="60">
        <v>19.0</v>
      </c>
      <c r="C327" s="60">
        <v>9.0</v>
      </c>
      <c r="D327" s="60">
        <v>4.0</v>
      </c>
      <c r="E327" s="60">
        <v>0.0</v>
      </c>
      <c r="F327" s="60">
        <v>1.0</v>
      </c>
      <c r="G327" s="71">
        <v>0.0</v>
      </c>
      <c r="H327" s="73">
        <f t="shared" si="20"/>
        <v>37.8</v>
      </c>
      <c r="L327" s="59"/>
      <c r="M327" s="59"/>
      <c r="N327" s="59"/>
      <c r="T327" s="80"/>
      <c r="U327" s="80"/>
    </row>
    <row r="328">
      <c r="A328" s="36" t="s">
        <v>94</v>
      </c>
      <c r="B328" s="60">
        <v>3.0</v>
      </c>
      <c r="C328" s="60">
        <v>8.0</v>
      </c>
      <c r="D328" s="60">
        <v>3.0</v>
      </c>
      <c r="E328" s="60">
        <v>0.0</v>
      </c>
      <c r="F328" s="60">
        <v>0.0</v>
      </c>
      <c r="G328" s="71">
        <v>2.0</v>
      </c>
      <c r="H328" s="73">
        <f t="shared" si="20"/>
        <v>15.1</v>
      </c>
      <c r="L328" s="59"/>
      <c r="M328" s="59"/>
      <c r="N328" s="59"/>
      <c r="T328" s="80"/>
      <c r="U328" s="80"/>
    </row>
    <row r="329">
      <c r="A329" s="76" t="s">
        <v>88</v>
      </c>
      <c r="B329" s="60">
        <v>18.0</v>
      </c>
      <c r="C329" s="60">
        <v>3.0</v>
      </c>
      <c r="D329" s="60">
        <v>6.0</v>
      </c>
      <c r="E329" s="60">
        <v>0.0</v>
      </c>
      <c r="F329" s="60">
        <v>0.0</v>
      </c>
      <c r="G329" s="71">
        <v>3.0</v>
      </c>
      <c r="H329" s="73">
        <f t="shared" si="20"/>
        <v>27.6</v>
      </c>
      <c r="L329" s="59"/>
      <c r="M329" s="59"/>
      <c r="N329" s="59"/>
      <c r="T329" s="80"/>
      <c r="U329" s="80"/>
    </row>
    <row r="330">
      <c r="A330" s="36" t="s">
        <v>110</v>
      </c>
      <c r="B330" s="60">
        <v>12.0</v>
      </c>
      <c r="C330" s="60">
        <v>4.0</v>
      </c>
      <c r="D330" s="60">
        <v>1.0</v>
      </c>
      <c r="E330" s="60">
        <v>0.0</v>
      </c>
      <c r="F330" s="60">
        <v>1.0</v>
      </c>
      <c r="G330" s="71">
        <v>0.0</v>
      </c>
      <c r="H330" s="73">
        <f t="shared" si="20"/>
        <v>20.3</v>
      </c>
      <c r="L330" s="59"/>
      <c r="M330" s="59"/>
      <c r="N330" s="59"/>
      <c r="T330" s="80"/>
      <c r="U330" s="80"/>
    </row>
    <row r="331">
      <c r="A331" s="76" t="s">
        <v>126</v>
      </c>
      <c r="B331" s="60">
        <v>18.0</v>
      </c>
      <c r="C331" s="60">
        <v>8.0</v>
      </c>
      <c r="D331" s="60">
        <v>6.0</v>
      </c>
      <c r="E331" s="60">
        <v>2.0</v>
      </c>
      <c r="F331" s="60">
        <v>0.0</v>
      </c>
      <c r="G331" s="71">
        <v>4.0</v>
      </c>
      <c r="H331" s="73">
        <f t="shared" si="20"/>
        <v>36.6</v>
      </c>
      <c r="L331" s="59"/>
      <c r="M331" s="59"/>
      <c r="N331" s="59"/>
      <c r="T331" s="80"/>
      <c r="U331" s="80"/>
    </row>
    <row r="332">
      <c r="A332" s="76" t="s">
        <v>74</v>
      </c>
      <c r="B332" s="60">
        <v>13.0</v>
      </c>
      <c r="C332" s="60">
        <v>1.0</v>
      </c>
      <c r="D332" s="60">
        <v>1.0</v>
      </c>
      <c r="E332" s="60">
        <v>0.0</v>
      </c>
      <c r="F332" s="60">
        <v>0.0</v>
      </c>
      <c r="G332" s="71">
        <v>1.0</v>
      </c>
      <c r="H332" s="73">
        <f t="shared" si="20"/>
        <v>14.7</v>
      </c>
      <c r="L332" s="59"/>
      <c r="M332" s="59"/>
      <c r="N332" s="59"/>
      <c r="T332" s="80"/>
      <c r="U332" s="80"/>
    </row>
    <row r="333">
      <c r="A333" s="36" t="s">
        <v>127</v>
      </c>
      <c r="B333" s="60">
        <v>7.0</v>
      </c>
      <c r="C333" s="60">
        <v>3.0</v>
      </c>
      <c r="D333" s="60">
        <v>4.0</v>
      </c>
      <c r="E333" s="60">
        <v>1.0</v>
      </c>
      <c r="F333" s="60">
        <v>0.0</v>
      </c>
      <c r="G333" s="71">
        <v>4.0</v>
      </c>
      <c r="H333" s="73">
        <f t="shared" si="20"/>
        <v>14.6</v>
      </c>
      <c r="L333" s="59"/>
      <c r="M333" s="59"/>
      <c r="N333" s="59"/>
      <c r="T333" s="80"/>
      <c r="U333" s="80"/>
    </row>
    <row r="334">
      <c r="A334" s="36" t="s">
        <v>76</v>
      </c>
      <c r="B334" s="60">
        <v>20.0</v>
      </c>
      <c r="C334" s="60">
        <v>11.0</v>
      </c>
      <c r="D334" s="60">
        <v>8.0</v>
      </c>
      <c r="E334" s="60">
        <v>2.0</v>
      </c>
      <c r="F334" s="60">
        <v>0.0</v>
      </c>
      <c r="G334" s="71">
        <v>1.0</v>
      </c>
      <c r="H334" s="73">
        <f t="shared" si="20"/>
        <v>48.2</v>
      </c>
      <c r="L334" s="59"/>
      <c r="M334" s="59"/>
      <c r="N334" s="59"/>
      <c r="T334" s="80"/>
      <c r="U334" s="80"/>
    </row>
    <row r="335">
      <c r="A335" s="76" t="s">
        <v>133</v>
      </c>
      <c r="B335" s="60">
        <v>19.0</v>
      </c>
      <c r="C335" s="60">
        <v>5.0</v>
      </c>
      <c r="D335" s="60">
        <v>1.0</v>
      </c>
      <c r="E335" s="60">
        <v>1.0</v>
      </c>
      <c r="F335" s="60">
        <v>1.0</v>
      </c>
      <c r="G335" s="71">
        <v>4.0</v>
      </c>
      <c r="H335" s="73">
        <f t="shared" si="20"/>
        <v>26.5</v>
      </c>
      <c r="L335" s="59"/>
      <c r="M335" s="59"/>
      <c r="N335" s="59"/>
      <c r="T335" s="80"/>
      <c r="U335" s="80"/>
    </row>
    <row r="336">
      <c r="A336" s="70" t="s">
        <v>120</v>
      </c>
      <c r="B336" s="68">
        <v>23.0</v>
      </c>
      <c r="C336" s="68">
        <v>4.0</v>
      </c>
      <c r="D336" s="68">
        <v>1.0</v>
      </c>
      <c r="E336" s="68">
        <v>1.0</v>
      </c>
      <c r="F336" s="68">
        <v>3.0</v>
      </c>
      <c r="G336" s="79">
        <v>0.0</v>
      </c>
      <c r="H336" s="73">
        <f t="shared" si="20"/>
        <v>37.3</v>
      </c>
      <c r="L336" s="59"/>
      <c r="M336" s="59"/>
      <c r="N336" s="59"/>
      <c r="T336" s="80"/>
      <c r="U336" s="80"/>
    </row>
    <row r="337">
      <c r="A337" s="36" t="s">
        <v>93</v>
      </c>
      <c r="B337" s="60">
        <v>20.0</v>
      </c>
      <c r="C337" s="60">
        <v>9.0</v>
      </c>
      <c r="D337" s="60">
        <v>5.0</v>
      </c>
      <c r="E337" s="60">
        <v>0.0</v>
      </c>
      <c r="F337" s="60">
        <v>2.0</v>
      </c>
      <c r="G337" s="71">
        <v>0.0</v>
      </c>
      <c r="H337" s="72">
        <f t="shared" si="20"/>
        <v>42.3</v>
      </c>
      <c r="L337" s="59"/>
      <c r="M337" s="59"/>
      <c r="N337" s="59"/>
      <c r="T337" s="80"/>
      <c r="U337" s="80"/>
    </row>
    <row r="338">
      <c r="A338" s="76" t="s">
        <v>129</v>
      </c>
      <c r="B338" s="60">
        <v>10.0</v>
      </c>
      <c r="C338" s="60">
        <v>3.0</v>
      </c>
      <c r="D338" s="60">
        <v>5.0</v>
      </c>
      <c r="E338" s="60">
        <v>1.0</v>
      </c>
      <c r="F338" s="60">
        <v>0.0</v>
      </c>
      <c r="G338" s="71">
        <v>4.0</v>
      </c>
      <c r="H338" s="72">
        <f t="shared" si="20"/>
        <v>19.1</v>
      </c>
      <c r="L338" s="59"/>
      <c r="M338" s="59"/>
      <c r="N338" s="59"/>
      <c r="T338" s="80"/>
      <c r="U338" s="80"/>
    </row>
    <row r="339">
      <c r="A339" s="70" t="s">
        <v>66</v>
      </c>
      <c r="B339" s="60">
        <v>17.0</v>
      </c>
      <c r="C339" s="60">
        <v>8.0</v>
      </c>
      <c r="D339" s="60">
        <v>6.0</v>
      </c>
      <c r="E339" s="60">
        <v>1.0</v>
      </c>
      <c r="F339" s="60">
        <v>1.0</v>
      </c>
      <c r="G339" s="71">
        <v>6.0</v>
      </c>
      <c r="H339" s="72">
        <f t="shared" si="20"/>
        <v>33.6</v>
      </c>
      <c r="L339" s="59"/>
      <c r="M339" s="59"/>
      <c r="N339" s="59"/>
      <c r="T339" s="80"/>
      <c r="U339" s="80"/>
    </row>
    <row r="340">
      <c r="A340" s="76" t="s">
        <v>80</v>
      </c>
      <c r="B340" s="60">
        <v>17.0</v>
      </c>
      <c r="C340" s="60">
        <v>4.0</v>
      </c>
      <c r="D340" s="60">
        <v>7.0</v>
      </c>
      <c r="E340" s="60">
        <v>0.0</v>
      </c>
      <c r="F340" s="60">
        <v>2.0</v>
      </c>
      <c r="G340" s="71">
        <v>1.0</v>
      </c>
      <c r="H340" s="72">
        <f t="shared" si="20"/>
        <v>35.3</v>
      </c>
      <c r="L340" s="59"/>
      <c r="M340" s="59"/>
      <c r="N340" s="59"/>
      <c r="T340" s="80"/>
      <c r="U340" s="80"/>
    </row>
    <row r="341">
      <c r="A341" s="36" t="s">
        <v>121</v>
      </c>
      <c r="B341" s="77">
        <v>14.0</v>
      </c>
      <c r="C341" s="77">
        <v>8.0</v>
      </c>
      <c r="D341" s="77">
        <v>5.0</v>
      </c>
      <c r="E341" s="77">
        <v>1.0</v>
      </c>
      <c r="F341" s="77">
        <v>1.0</v>
      </c>
      <c r="G341" s="78">
        <v>0.0</v>
      </c>
      <c r="H341" s="72">
        <f t="shared" si="20"/>
        <v>35.1</v>
      </c>
      <c r="L341" s="59"/>
      <c r="M341" s="59"/>
      <c r="N341" s="59"/>
      <c r="T341" s="80"/>
      <c r="U341" s="80"/>
    </row>
    <row r="342">
      <c r="A342" s="76" t="s">
        <v>72</v>
      </c>
      <c r="B342" s="60">
        <v>14.0</v>
      </c>
      <c r="C342" s="60">
        <v>4.0</v>
      </c>
      <c r="D342" s="60">
        <v>1.0</v>
      </c>
      <c r="E342" s="60">
        <v>0.0</v>
      </c>
      <c r="F342" s="60">
        <v>1.0</v>
      </c>
      <c r="G342" s="71">
        <v>2.0</v>
      </c>
      <c r="H342" s="73">
        <f t="shared" si="20"/>
        <v>20.3</v>
      </c>
      <c r="L342" s="59"/>
      <c r="M342" s="59"/>
      <c r="N342" s="59"/>
      <c r="T342" s="80"/>
      <c r="U342" s="80"/>
    </row>
    <row r="343">
      <c r="A343" s="76" t="s">
        <v>113</v>
      </c>
      <c r="B343" s="60">
        <v>3.0</v>
      </c>
      <c r="C343" s="60">
        <v>2.0</v>
      </c>
      <c r="D343" s="60">
        <v>0.0</v>
      </c>
      <c r="E343" s="60">
        <v>0.0</v>
      </c>
      <c r="F343" s="60">
        <v>1.0</v>
      </c>
      <c r="G343" s="71">
        <v>2.0</v>
      </c>
      <c r="H343" s="73">
        <f t="shared" si="20"/>
        <v>5.4</v>
      </c>
      <c r="L343" s="59"/>
      <c r="M343" s="59"/>
      <c r="N343" s="59"/>
      <c r="T343" s="80"/>
      <c r="U343" s="80"/>
    </row>
    <row r="344">
      <c r="A344" s="76" t="s">
        <v>69</v>
      </c>
      <c r="B344" s="60">
        <v>13.0</v>
      </c>
      <c r="C344" s="60">
        <v>14.0</v>
      </c>
      <c r="D344" s="60">
        <v>5.0</v>
      </c>
      <c r="E344" s="60">
        <v>3.0</v>
      </c>
      <c r="F344" s="60">
        <v>1.0</v>
      </c>
      <c r="G344" s="71">
        <v>3.0</v>
      </c>
      <c r="H344" s="73">
        <f t="shared" si="20"/>
        <v>42.3</v>
      </c>
      <c r="L344" s="59"/>
      <c r="M344" s="59"/>
      <c r="N344" s="59"/>
      <c r="T344" s="80"/>
      <c r="U344" s="80"/>
    </row>
    <row r="345">
      <c r="A345" s="76" t="s">
        <v>101</v>
      </c>
      <c r="B345" s="60">
        <v>15.0</v>
      </c>
      <c r="C345" s="60">
        <v>11.0</v>
      </c>
      <c r="D345" s="60">
        <v>2.0</v>
      </c>
      <c r="E345" s="60">
        <v>2.0</v>
      </c>
      <c r="F345" s="60">
        <v>2.0</v>
      </c>
      <c r="G345" s="71">
        <v>0.0</v>
      </c>
      <c r="H345" s="73">
        <f t="shared" si="20"/>
        <v>39.2</v>
      </c>
      <c r="L345" s="59"/>
      <c r="M345" s="59"/>
      <c r="N345" s="59"/>
      <c r="T345" s="80"/>
      <c r="U345" s="80"/>
    </row>
    <row r="346">
      <c r="A346" s="70" t="s">
        <v>85</v>
      </c>
      <c r="B346" s="77">
        <v>8.0</v>
      </c>
      <c r="C346" s="77">
        <v>5.0</v>
      </c>
      <c r="D346" s="77">
        <v>0.0</v>
      </c>
      <c r="E346" s="77">
        <v>1.0</v>
      </c>
      <c r="F346" s="77">
        <v>0.0</v>
      </c>
      <c r="G346" s="78">
        <v>0.0</v>
      </c>
      <c r="H346" s="73">
        <f t="shared" si="20"/>
        <v>16</v>
      </c>
      <c r="L346" s="59"/>
      <c r="M346" s="59"/>
      <c r="N346" s="59"/>
      <c r="T346" s="80"/>
      <c r="U346" s="80"/>
    </row>
    <row r="347">
      <c r="A347" s="36" t="s">
        <v>73</v>
      </c>
      <c r="B347" s="60">
        <v>34.0</v>
      </c>
      <c r="C347" s="60">
        <v>4.0</v>
      </c>
      <c r="D347" s="60">
        <v>8.0</v>
      </c>
      <c r="E347" s="60">
        <v>0.0</v>
      </c>
      <c r="F347" s="60">
        <v>0.0</v>
      </c>
      <c r="G347" s="71">
        <v>2.0</v>
      </c>
      <c r="H347" s="73">
        <f t="shared" si="20"/>
        <v>48.8</v>
      </c>
      <c r="L347" s="59"/>
      <c r="M347" s="59"/>
      <c r="N347" s="59"/>
      <c r="T347" s="80"/>
      <c r="U347" s="80"/>
    </row>
    <row r="348">
      <c r="A348" s="36" t="s">
        <v>97</v>
      </c>
      <c r="B348" s="60">
        <v>19.0</v>
      </c>
      <c r="C348" s="60">
        <v>1.0</v>
      </c>
      <c r="D348" s="60">
        <v>5.0</v>
      </c>
      <c r="E348" s="60">
        <v>0.0</v>
      </c>
      <c r="F348" s="60">
        <v>0.0</v>
      </c>
      <c r="G348" s="71">
        <v>4.0</v>
      </c>
      <c r="H348" s="73">
        <f t="shared" si="20"/>
        <v>23.7</v>
      </c>
      <c r="L348" s="59"/>
      <c r="M348" s="59"/>
      <c r="N348" s="59"/>
      <c r="T348" s="80"/>
      <c r="U348" s="80"/>
    </row>
    <row r="349">
      <c r="A349" s="76" t="s">
        <v>70</v>
      </c>
      <c r="B349" s="60">
        <v>21.0</v>
      </c>
      <c r="C349" s="60">
        <v>17.0</v>
      </c>
      <c r="D349" s="60">
        <v>1.0</v>
      </c>
      <c r="E349" s="60">
        <v>0.0</v>
      </c>
      <c r="F349" s="60">
        <v>1.0</v>
      </c>
      <c r="G349" s="71">
        <v>4.0</v>
      </c>
      <c r="H349" s="73">
        <f t="shared" si="20"/>
        <v>40.9</v>
      </c>
      <c r="L349" s="59"/>
      <c r="M349" s="59"/>
      <c r="N349" s="59"/>
      <c r="T349" s="80"/>
      <c r="U349" s="80"/>
    </row>
    <row r="350">
      <c r="A350" s="36" t="s">
        <v>89</v>
      </c>
      <c r="B350" s="60">
        <v>23.0</v>
      </c>
      <c r="C350" s="60">
        <v>6.0</v>
      </c>
      <c r="D350" s="60">
        <v>3.0</v>
      </c>
      <c r="E350" s="60">
        <v>0.0</v>
      </c>
      <c r="F350" s="60">
        <v>2.0</v>
      </c>
      <c r="G350" s="71">
        <v>2.0</v>
      </c>
      <c r="H350" s="73">
        <f t="shared" si="20"/>
        <v>36.7</v>
      </c>
      <c r="L350" s="59"/>
      <c r="M350" s="59"/>
      <c r="N350" s="59"/>
      <c r="T350" s="80"/>
      <c r="U350" s="80"/>
    </row>
    <row r="351">
      <c r="A351" s="76" t="s">
        <v>82</v>
      </c>
      <c r="B351" s="60">
        <v>5.0</v>
      </c>
      <c r="C351" s="60">
        <v>5.0</v>
      </c>
      <c r="D351" s="60">
        <v>1.0</v>
      </c>
      <c r="E351" s="60">
        <v>4.0</v>
      </c>
      <c r="F351" s="60">
        <v>1.0</v>
      </c>
      <c r="G351" s="71">
        <v>3.0</v>
      </c>
      <c r="H351" s="73">
        <f t="shared" si="20"/>
        <v>19.5</v>
      </c>
      <c r="L351" s="59"/>
      <c r="M351" s="59"/>
      <c r="N351" s="59"/>
      <c r="T351" s="80"/>
      <c r="U351" s="80"/>
    </row>
    <row r="352">
      <c r="A352" s="76" t="s">
        <v>84</v>
      </c>
      <c r="B352" s="60">
        <v>17.0</v>
      </c>
      <c r="C352" s="60">
        <v>3.0</v>
      </c>
      <c r="D352" s="60">
        <v>7.0</v>
      </c>
      <c r="E352" s="60">
        <v>0.0</v>
      </c>
      <c r="F352" s="60">
        <v>1.0</v>
      </c>
      <c r="G352" s="71">
        <v>2.0</v>
      </c>
      <c r="H352" s="73">
        <f t="shared" si="20"/>
        <v>31.1</v>
      </c>
      <c r="L352" s="59"/>
      <c r="M352" s="59"/>
      <c r="N352" s="59"/>
      <c r="T352" s="80"/>
      <c r="U352" s="80"/>
    </row>
    <row r="353">
      <c r="A353" s="36" t="s">
        <v>100</v>
      </c>
      <c r="B353" s="60">
        <v>14.0</v>
      </c>
      <c r="C353" s="60">
        <v>7.0</v>
      </c>
      <c r="D353" s="60">
        <v>5.0</v>
      </c>
      <c r="E353" s="60">
        <v>3.0</v>
      </c>
      <c r="F353" s="60">
        <v>0.0</v>
      </c>
      <c r="G353" s="71">
        <v>2.0</v>
      </c>
      <c r="H353" s="73">
        <f t="shared" si="20"/>
        <v>33.9</v>
      </c>
      <c r="L353" s="59"/>
      <c r="M353" s="59"/>
      <c r="N353" s="59"/>
      <c r="T353" s="80"/>
      <c r="U353" s="80"/>
    </row>
    <row r="354">
      <c r="A354" s="36" t="s">
        <v>98</v>
      </c>
      <c r="B354" s="60">
        <v>20.0</v>
      </c>
      <c r="C354" s="60">
        <v>6.0</v>
      </c>
      <c r="D354" s="60">
        <v>1.0</v>
      </c>
      <c r="E354" s="60">
        <v>2.0</v>
      </c>
      <c r="F354" s="60">
        <v>0.0</v>
      </c>
      <c r="G354" s="71">
        <v>6.0</v>
      </c>
      <c r="H354" s="73">
        <f t="shared" si="20"/>
        <v>26.7</v>
      </c>
      <c r="L354" s="59"/>
      <c r="M354" s="59"/>
      <c r="N354" s="59"/>
      <c r="T354" s="80"/>
      <c r="U354" s="80"/>
    </row>
    <row r="355">
      <c r="A355" s="76" t="s">
        <v>58</v>
      </c>
      <c r="B355" s="60">
        <v>10.0</v>
      </c>
      <c r="C355" s="60">
        <v>5.0</v>
      </c>
      <c r="D355" s="60">
        <v>1.0</v>
      </c>
      <c r="E355" s="60">
        <v>0.0</v>
      </c>
      <c r="F355" s="60">
        <v>1.0</v>
      </c>
      <c r="G355" s="71">
        <v>1.0</v>
      </c>
      <c r="H355" s="73">
        <f t="shared" si="20"/>
        <v>18.5</v>
      </c>
      <c r="L355" s="59"/>
      <c r="M355" s="59"/>
      <c r="N355" s="59"/>
      <c r="T355" s="80"/>
      <c r="U355" s="80"/>
    </row>
    <row r="356">
      <c r="A356" s="70" t="s">
        <v>134</v>
      </c>
      <c r="B356" s="68">
        <v>4.0</v>
      </c>
      <c r="C356" s="68">
        <v>4.0</v>
      </c>
      <c r="D356" s="68">
        <v>0.0</v>
      </c>
      <c r="E356" s="68">
        <v>3.0</v>
      </c>
      <c r="F356" s="68">
        <v>1.0</v>
      </c>
      <c r="G356" s="79">
        <v>1.0</v>
      </c>
      <c r="H356" s="73">
        <f t="shared" si="20"/>
        <v>15.8</v>
      </c>
      <c r="L356" s="59"/>
      <c r="M356" s="59"/>
      <c r="N356" s="59"/>
      <c r="T356" s="80"/>
      <c r="U356" s="80"/>
    </row>
    <row r="357">
      <c r="A357" s="36" t="s">
        <v>72</v>
      </c>
      <c r="B357" s="60">
        <v>27.0</v>
      </c>
      <c r="C357" s="60">
        <v>4.0</v>
      </c>
      <c r="D357" s="60">
        <v>8.0</v>
      </c>
      <c r="E357" s="60">
        <v>4.0</v>
      </c>
      <c r="F357" s="60">
        <v>1.0</v>
      </c>
      <c r="G357" s="71">
        <v>2.0</v>
      </c>
      <c r="H357" s="72">
        <f t="shared" si="20"/>
        <v>51.8</v>
      </c>
      <c r="L357" s="59"/>
      <c r="M357" s="59"/>
      <c r="N357" s="59"/>
      <c r="T357" s="80"/>
      <c r="U357" s="80"/>
    </row>
    <row r="358">
      <c r="A358" s="76" t="s">
        <v>83</v>
      </c>
      <c r="B358" s="60">
        <v>10.0</v>
      </c>
      <c r="C358" s="60">
        <v>4.0</v>
      </c>
      <c r="D358" s="60">
        <v>4.0</v>
      </c>
      <c r="E358" s="60">
        <v>1.0</v>
      </c>
      <c r="F358" s="60">
        <v>1.0</v>
      </c>
      <c r="G358" s="71">
        <v>3.0</v>
      </c>
      <c r="H358" s="72">
        <f t="shared" si="20"/>
        <v>21.8</v>
      </c>
      <c r="L358" s="59"/>
      <c r="M358" s="59"/>
      <c r="N358" s="59"/>
      <c r="T358" s="80"/>
      <c r="U358" s="80"/>
    </row>
    <row r="359">
      <c r="A359" s="70" t="s">
        <v>66</v>
      </c>
      <c r="B359" s="60">
        <v>20.0</v>
      </c>
      <c r="C359" s="60">
        <v>16.0</v>
      </c>
      <c r="D359" s="60">
        <v>6.0</v>
      </c>
      <c r="E359" s="60">
        <v>2.0</v>
      </c>
      <c r="F359" s="60">
        <v>2.0</v>
      </c>
      <c r="G359" s="71">
        <v>8.0</v>
      </c>
      <c r="H359" s="72">
        <f t="shared" si="20"/>
        <v>48.2</v>
      </c>
      <c r="L359" s="59"/>
      <c r="M359" s="59"/>
      <c r="N359" s="59"/>
      <c r="T359" s="80"/>
      <c r="U359" s="80"/>
    </row>
    <row r="360">
      <c r="A360" s="76" t="s">
        <v>101</v>
      </c>
      <c r="B360" s="60">
        <v>18.0</v>
      </c>
      <c r="C360" s="60">
        <v>16.0</v>
      </c>
      <c r="D360" s="60">
        <v>0.0</v>
      </c>
      <c r="E360" s="60">
        <v>1.0</v>
      </c>
      <c r="F360" s="60">
        <v>3.0</v>
      </c>
      <c r="G360" s="71">
        <v>3.0</v>
      </c>
      <c r="H360" s="72">
        <f t="shared" si="20"/>
        <v>42.2</v>
      </c>
      <c r="L360" s="59"/>
      <c r="M360" s="59"/>
      <c r="N360" s="59"/>
      <c r="T360" s="80"/>
      <c r="U360" s="80"/>
    </row>
    <row r="361">
      <c r="A361" s="36" t="s">
        <v>120</v>
      </c>
      <c r="B361" s="77">
        <v>7.0</v>
      </c>
      <c r="C361" s="77">
        <v>7.0</v>
      </c>
      <c r="D361" s="77">
        <v>1.0</v>
      </c>
      <c r="E361" s="77">
        <v>0.0</v>
      </c>
      <c r="F361" s="77">
        <v>2.0</v>
      </c>
      <c r="G361" s="78">
        <v>0.0</v>
      </c>
      <c r="H361" s="72">
        <f t="shared" si="20"/>
        <v>20.9</v>
      </c>
      <c r="L361" s="59"/>
      <c r="M361" s="59"/>
      <c r="N361" s="59"/>
      <c r="T361" s="80"/>
      <c r="U361" s="80"/>
    </row>
    <row r="362">
      <c r="A362" s="76" t="s">
        <v>78</v>
      </c>
      <c r="B362" s="60">
        <v>20.0</v>
      </c>
      <c r="C362" s="60">
        <v>9.0</v>
      </c>
      <c r="D362" s="60">
        <v>5.0</v>
      </c>
      <c r="E362" s="60">
        <v>3.0</v>
      </c>
      <c r="F362" s="60">
        <v>1.0</v>
      </c>
      <c r="G362" s="71">
        <v>1.0</v>
      </c>
      <c r="H362" s="73">
        <f t="shared" si="20"/>
        <v>45.3</v>
      </c>
      <c r="L362" s="59"/>
      <c r="M362" s="59"/>
      <c r="N362" s="59"/>
      <c r="T362" s="80"/>
      <c r="U362" s="80"/>
    </row>
    <row r="363">
      <c r="A363" s="76" t="s">
        <v>97</v>
      </c>
      <c r="B363" s="60">
        <v>8.0</v>
      </c>
      <c r="C363" s="60">
        <v>1.0</v>
      </c>
      <c r="D363" s="60">
        <v>4.0</v>
      </c>
      <c r="E363" s="60">
        <v>2.0</v>
      </c>
      <c r="F363" s="60">
        <v>0.0</v>
      </c>
      <c r="G363" s="71">
        <v>0.0</v>
      </c>
      <c r="H363" s="73">
        <f t="shared" si="20"/>
        <v>19.2</v>
      </c>
      <c r="L363" s="59"/>
      <c r="M363" s="59"/>
      <c r="N363" s="59"/>
      <c r="T363" s="80"/>
      <c r="U363" s="80"/>
    </row>
    <row r="364">
      <c r="A364" s="76" t="s">
        <v>80</v>
      </c>
      <c r="B364" s="60">
        <v>32.0</v>
      </c>
      <c r="C364" s="60">
        <v>3.0</v>
      </c>
      <c r="D364" s="60">
        <v>5.0</v>
      </c>
      <c r="E364" s="60">
        <v>0.0</v>
      </c>
      <c r="F364" s="60">
        <v>0.0</v>
      </c>
      <c r="G364" s="71">
        <v>3.0</v>
      </c>
      <c r="H364" s="73">
        <f t="shared" si="20"/>
        <v>40.1</v>
      </c>
      <c r="L364" s="59"/>
      <c r="M364" s="59"/>
      <c r="N364" s="59"/>
      <c r="T364" s="80"/>
      <c r="U364" s="80"/>
    </row>
    <row r="365">
      <c r="A365" s="76" t="s">
        <v>105</v>
      </c>
      <c r="B365" s="60">
        <v>19.0</v>
      </c>
      <c r="C365" s="60">
        <v>12.0</v>
      </c>
      <c r="D365" s="60">
        <v>2.0</v>
      </c>
      <c r="E365" s="60">
        <v>0.0</v>
      </c>
      <c r="F365" s="60">
        <v>2.0</v>
      </c>
      <c r="G365" s="71">
        <v>3.0</v>
      </c>
      <c r="H365" s="73">
        <f t="shared" si="20"/>
        <v>37.4</v>
      </c>
      <c r="L365" s="59"/>
      <c r="M365" s="59"/>
      <c r="N365" s="59"/>
      <c r="T365" s="80"/>
      <c r="U365" s="80"/>
    </row>
    <row r="366">
      <c r="A366" s="70" t="s">
        <v>91</v>
      </c>
      <c r="B366" s="77">
        <v>18.0</v>
      </c>
      <c r="C366" s="77">
        <v>13.0</v>
      </c>
      <c r="D366" s="77">
        <v>4.0</v>
      </c>
      <c r="E366" s="77">
        <v>3.0</v>
      </c>
      <c r="F366" s="77">
        <v>3.0</v>
      </c>
      <c r="G366" s="78">
        <v>0.0</v>
      </c>
      <c r="H366" s="73">
        <f t="shared" si="20"/>
        <v>51.6</v>
      </c>
      <c r="L366" s="59"/>
      <c r="M366" s="59"/>
      <c r="N366" s="59"/>
      <c r="T366" s="80"/>
      <c r="U366" s="80"/>
    </row>
    <row r="367">
      <c r="A367" s="36" t="s">
        <v>73</v>
      </c>
      <c r="B367" s="60">
        <v>18.0</v>
      </c>
      <c r="C367" s="60">
        <v>13.0</v>
      </c>
      <c r="D367" s="60">
        <v>7.0</v>
      </c>
      <c r="E367" s="60">
        <v>2.0</v>
      </c>
      <c r="F367" s="60">
        <v>0.0</v>
      </c>
      <c r="G367" s="71">
        <v>1.0</v>
      </c>
      <c r="H367" s="73">
        <f t="shared" si="20"/>
        <v>47.1</v>
      </c>
      <c r="L367" s="59"/>
      <c r="M367" s="59"/>
      <c r="N367" s="59"/>
      <c r="T367" s="80"/>
      <c r="U367" s="80"/>
    </row>
    <row r="368">
      <c r="A368" s="36" t="s">
        <v>92</v>
      </c>
      <c r="B368" s="60">
        <v>4.0</v>
      </c>
      <c r="C368" s="60">
        <v>0.0</v>
      </c>
      <c r="D368" s="60">
        <v>5.0</v>
      </c>
      <c r="E368" s="60">
        <v>1.0</v>
      </c>
      <c r="F368" s="60">
        <v>0.0</v>
      </c>
      <c r="G368" s="71">
        <v>3.0</v>
      </c>
      <c r="H368" s="73">
        <f t="shared" si="20"/>
        <v>10.5</v>
      </c>
      <c r="L368" s="59"/>
      <c r="M368" s="59"/>
      <c r="N368" s="59"/>
      <c r="T368" s="80"/>
      <c r="U368" s="80"/>
    </row>
    <row r="369">
      <c r="A369" s="76" t="s">
        <v>88</v>
      </c>
      <c r="B369" s="60">
        <v>24.0</v>
      </c>
      <c r="C369" s="60">
        <v>7.0</v>
      </c>
      <c r="D369" s="60">
        <v>11.0</v>
      </c>
      <c r="E369" s="60">
        <v>0.0</v>
      </c>
      <c r="F369" s="60">
        <v>0.0</v>
      </c>
      <c r="G369" s="71">
        <v>2.0</v>
      </c>
      <c r="H369" s="73">
        <f t="shared" si="20"/>
        <v>46.9</v>
      </c>
      <c r="L369" s="59"/>
      <c r="M369" s="59"/>
      <c r="N369" s="59"/>
      <c r="T369" s="80"/>
      <c r="U369" s="80"/>
    </row>
    <row r="370">
      <c r="A370" s="36" t="s">
        <v>81</v>
      </c>
      <c r="B370" s="60">
        <v>5.0</v>
      </c>
      <c r="C370" s="60">
        <v>9.0</v>
      </c>
      <c r="D370" s="60">
        <v>0.0</v>
      </c>
      <c r="E370" s="60">
        <v>0.0</v>
      </c>
      <c r="F370" s="60">
        <v>0.0</v>
      </c>
      <c r="G370" s="71">
        <v>3.0</v>
      </c>
      <c r="H370" s="73">
        <f t="shared" si="20"/>
        <v>12.8</v>
      </c>
      <c r="L370" s="59"/>
      <c r="M370" s="59"/>
      <c r="N370" s="59"/>
      <c r="T370" s="80"/>
      <c r="U370" s="80"/>
    </row>
    <row r="371">
      <c r="A371" s="76" t="s">
        <v>121</v>
      </c>
      <c r="B371" s="60">
        <v>10.0</v>
      </c>
      <c r="C371" s="60">
        <v>10.0</v>
      </c>
      <c r="D371" s="60">
        <v>4.0</v>
      </c>
      <c r="E371" s="60">
        <v>1.0</v>
      </c>
      <c r="F371" s="60">
        <v>1.0</v>
      </c>
      <c r="G371" s="71">
        <v>2.0</v>
      </c>
      <c r="H371" s="73">
        <f t="shared" si="20"/>
        <v>30</v>
      </c>
      <c r="L371" s="59"/>
      <c r="M371" s="59"/>
      <c r="N371" s="59"/>
      <c r="T371" s="80"/>
      <c r="U371" s="80"/>
    </row>
    <row r="372">
      <c r="A372" s="76" t="s">
        <v>87</v>
      </c>
      <c r="B372" s="60">
        <v>43.0</v>
      </c>
      <c r="C372" s="60">
        <v>9.0</v>
      </c>
      <c r="D372" s="60">
        <v>5.0</v>
      </c>
      <c r="E372" s="60">
        <v>1.0</v>
      </c>
      <c r="F372" s="60">
        <v>0.0</v>
      </c>
      <c r="G372" s="71">
        <v>2.0</v>
      </c>
      <c r="H372" s="73">
        <f t="shared" si="20"/>
        <v>61.3</v>
      </c>
      <c r="L372" s="59"/>
      <c r="M372" s="59"/>
      <c r="N372" s="59"/>
      <c r="T372" s="80"/>
      <c r="U372" s="80"/>
    </row>
    <row r="373">
      <c r="A373" s="36" t="s">
        <v>44</v>
      </c>
      <c r="B373" s="60">
        <v>10.0</v>
      </c>
      <c r="C373" s="60">
        <v>1.0</v>
      </c>
      <c r="D373" s="60">
        <v>3.0</v>
      </c>
      <c r="E373" s="60">
        <v>0.0</v>
      </c>
      <c r="F373" s="60">
        <v>0.0</v>
      </c>
      <c r="G373" s="71">
        <v>4.0</v>
      </c>
      <c r="H373" s="73">
        <f t="shared" si="20"/>
        <v>11.7</v>
      </c>
      <c r="L373" s="59"/>
      <c r="M373" s="59"/>
      <c r="N373" s="59"/>
      <c r="T373" s="80"/>
      <c r="U373" s="80"/>
    </row>
    <row r="374">
      <c r="A374" s="36" t="s">
        <v>76</v>
      </c>
      <c r="B374" s="60">
        <v>17.0</v>
      </c>
      <c r="C374" s="60">
        <v>7.0</v>
      </c>
      <c r="D374" s="60">
        <v>4.0</v>
      </c>
      <c r="E374" s="60">
        <v>1.0</v>
      </c>
      <c r="F374" s="60">
        <v>0.0</v>
      </c>
      <c r="G374" s="71">
        <v>2.0</v>
      </c>
      <c r="H374" s="73">
        <f t="shared" si="20"/>
        <v>31.4</v>
      </c>
      <c r="L374" s="59"/>
      <c r="M374" s="59"/>
      <c r="N374" s="59"/>
      <c r="T374" s="80"/>
      <c r="U374" s="80"/>
    </row>
    <row r="375">
      <c r="A375" s="76" t="s">
        <v>111</v>
      </c>
      <c r="B375" s="60">
        <v>18.0</v>
      </c>
      <c r="C375" s="60">
        <v>4.0</v>
      </c>
      <c r="D375" s="60">
        <v>3.0</v>
      </c>
      <c r="E375" s="60">
        <v>0.0</v>
      </c>
      <c r="F375" s="60">
        <v>0.0</v>
      </c>
      <c r="G375" s="71">
        <v>1.0</v>
      </c>
      <c r="H375" s="73">
        <f t="shared" si="20"/>
        <v>26.3</v>
      </c>
      <c r="L375" s="59"/>
      <c r="M375" s="59"/>
      <c r="N375" s="59"/>
      <c r="T375" s="80"/>
      <c r="U375" s="80"/>
    </row>
    <row r="376">
      <c r="A376" s="70" t="s">
        <v>114</v>
      </c>
      <c r="B376" s="68">
        <v>15.0</v>
      </c>
      <c r="C376" s="68">
        <v>3.0</v>
      </c>
      <c r="D376" s="68">
        <v>0.0</v>
      </c>
      <c r="E376" s="68">
        <v>1.0</v>
      </c>
      <c r="F376" s="68">
        <v>3.0</v>
      </c>
      <c r="G376" s="79">
        <v>1.0</v>
      </c>
      <c r="H376" s="73">
        <f t="shared" si="20"/>
        <v>25.6</v>
      </c>
      <c r="L376" s="59"/>
      <c r="M376" s="59"/>
      <c r="N376" s="59"/>
      <c r="T376" s="80"/>
      <c r="U376" s="80"/>
    </row>
    <row r="377">
      <c r="A377" s="36" t="s">
        <v>78</v>
      </c>
      <c r="B377" s="60">
        <v>36.0</v>
      </c>
      <c r="C377" s="60">
        <v>4.0</v>
      </c>
      <c r="D377" s="60">
        <v>4.0</v>
      </c>
      <c r="E377" s="60">
        <v>0.0</v>
      </c>
      <c r="F377" s="60">
        <v>1.0</v>
      </c>
      <c r="G377" s="71">
        <v>3.0</v>
      </c>
      <c r="H377" s="72">
        <f t="shared" si="20"/>
        <v>45.8</v>
      </c>
      <c r="L377" s="59"/>
      <c r="M377" s="59"/>
      <c r="N377" s="59"/>
      <c r="T377" s="80"/>
      <c r="U377" s="80"/>
    </row>
    <row r="378">
      <c r="A378" s="76" t="s">
        <v>93</v>
      </c>
      <c r="B378" s="60">
        <v>17.0</v>
      </c>
      <c r="C378" s="60">
        <v>5.0</v>
      </c>
      <c r="D378" s="60">
        <v>2.0</v>
      </c>
      <c r="E378" s="60">
        <v>1.0</v>
      </c>
      <c r="F378" s="60">
        <v>1.0</v>
      </c>
      <c r="G378" s="71">
        <v>0.0</v>
      </c>
      <c r="H378" s="72">
        <f t="shared" si="20"/>
        <v>30</v>
      </c>
      <c r="L378" s="59"/>
      <c r="M378" s="59"/>
      <c r="N378" s="59"/>
      <c r="T378" s="80"/>
      <c r="U378" s="80"/>
    </row>
    <row r="379">
      <c r="A379" s="70" t="s">
        <v>82</v>
      </c>
      <c r="B379" s="60">
        <v>2.0</v>
      </c>
      <c r="C379" s="60">
        <v>2.0</v>
      </c>
      <c r="D379" s="60">
        <v>1.0</v>
      </c>
      <c r="E379" s="60">
        <v>0.0</v>
      </c>
      <c r="F379" s="60">
        <v>0.0</v>
      </c>
      <c r="G379" s="71">
        <v>1.0</v>
      </c>
      <c r="H379" s="72">
        <f t="shared" si="20"/>
        <v>4.9</v>
      </c>
      <c r="L379" s="59"/>
      <c r="M379" s="59"/>
      <c r="N379" s="59"/>
      <c r="T379" s="80"/>
      <c r="U379" s="80"/>
    </row>
    <row r="380">
      <c r="A380" s="76" t="s">
        <v>133</v>
      </c>
      <c r="B380" s="60">
        <v>9.0</v>
      </c>
      <c r="C380" s="60">
        <v>3.0</v>
      </c>
      <c r="D380" s="60">
        <v>2.0</v>
      </c>
      <c r="E380" s="60">
        <v>0.0</v>
      </c>
      <c r="F380" s="60">
        <v>0.0</v>
      </c>
      <c r="G380" s="71">
        <v>2.0</v>
      </c>
      <c r="H380" s="72">
        <f t="shared" si="20"/>
        <v>13.6</v>
      </c>
      <c r="L380" s="59"/>
      <c r="M380" s="59"/>
      <c r="N380" s="59"/>
      <c r="T380" s="80"/>
      <c r="U380" s="80"/>
    </row>
    <row r="381">
      <c r="A381" s="36" t="s">
        <v>110</v>
      </c>
      <c r="B381" s="77">
        <v>15.0</v>
      </c>
      <c r="C381" s="77">
        <v>6.0</v>
      </c>
      <c r="D381" s="77">
        <v>1.0</v>
      </c>
      <c r="E381" s="77">
        <v>1.0</v>
      </c>
      <c r="F381" s="77">
        <v>2.0</v>
      </c>
      <c r="G381" s="78">
        <v>2.0</v>
      </c>
      <c r="H381" s="72">
        <f t="shared" si="20"/>
        <v>27.7</v>
      </c>
      <c r="L381" s="59"/>
      <c r="M381" s="59"/>
      <c r="N381" s="59"/>
      <c r="T381" s="80"/>
      <c r="U381" s="80"/>
    </row>
    <row r="382">
      <c r="A382" s="76" t="s">
        <v>129</v>
      </c>
      <c r="B382" s="60">
        <v>8.0</v>
      </c>
      <c r="C382" s="60">
        <v>2.0</v>
      </c>
      <c r="D382" s="60">
        <v>4.0</v>
      </c>
      <c r="E382" s="60">
        <v>1.0</v>
      </c>
      <c r="F382" s="60">
        <v>0.0</v>
      </c>
      <c r="G382" s="71">
        <v>3.0</v>
      </c>
      <c r="H382" s="73">
        <f t="shared" si="20"/>
        <v>15.4</v>
      </c>
      <c r="L382" s="59"/>
      <c r="M382" s="59"/>
      <c r="N382" s="59"/>
      <c r="T382" s="80"/>
      <c r="U382" s="80"/>
    </row>
    <row r="383">
      <c r="A383" s="76" t="s">
        <v>127</v>
      </c>
      <c r="B383" s="60">
        <v>2.0</v>
      </c>
      <c r="C383" s="60">
        <v>2.0</v>
      </c>
      <c r="D383" s="60">
        <v>0.0</v>
      </c>
      <c r="E383" s="60">
        <v>0.0</v>
      </c>
      <c r="F383" s="60">
        <v>0.0</v>
      </c>
      <c r="G383" s="71">
        <v>3.0</v>
      </c>
      <c r="H383" s="73">
        <f t="shared" si="20"/>
        <v>1.4</v>
      </c>
      <c r="L383" s="59"/>
      <c r="M383" s="59"/>
      <c r="N383" s="59"/>
      <c r="T383" s="80"/>
      <c r="U383" s="80"/>
    </row>
    <row r="384">
      <c r="A384" s="76" t="s">
        <v>69</v>
      </c>
      <c r="B384" s="60">
        <v>22.0</v>
      </c>
      <c r="C384" s="60">
        <v>9.0</v>
      </c>
      <c r="D384" s="60">
        <v>7.0</v>
      </c>
      <c r="E384" s="60">
        <v>2.0</v>
      </c>
      <c r="F384" s="60">
        <v>0.0</v>
      </c>
      <c r="G384" s="71">
        <v>3.0</v>
      </c>
      <c r="H384" s="73">
        <f t="shared" si="20"/>
        <v>44.3</v>
      </c>
      <c r="L384" s="59"/>
      <c r="M384" s="59"/>
      <c r="N384" s="59"/>
      <c r="T384" s="80"/>
      <c r="U384" s="80"/>
    </row>
    <row r="385">
      <c r="A385" s="76" t="s">
        <v>98</v>
      </c>
      <c r="B385" s="60">
        <v>19.0</v>
      </c>
      <c r="C385" s="60">
        <v>6.0</v>
      </c>
      <c r="D385" s="60">
        <v>5.0</v>
      </c>
      <c r="E385" s="60">
        <v>1.0</v>
      </c>
      <c r="F385" s="60">
        <v>1.0</v>
      </c>
      <c r="G385" s="71">
        <v>2.0</v>
      </c>
      <c r="H385" s="73">
        <f t="shared" si="20"/>
        <v>35.7</v>
      </c>
      <c r="L385" s="59"/>
      <c r="M385" s="59"/>
      <c r="N385" s="59"/>
      <c r="T385" s="80"/>
      <c r="U385" s="80"/>
    </row>
    <row r="386">
      <c r="A386" s="70" t="s">
        <v>89</v>
      </c>
      <c r="B386" s="77">
        <v>10.0</v>
      </c>
      <c r="C386" s="77">
        <v>6.0</v>
      </c>
      <c r="D386" s="77">
        <v>3.0</v>
      </c>
      <c r="E386" s="77">
        <v>0.0</v>
      </c>
      <c r="F386" s="77">
        <v>2.0</v>
      </c>
      <c r="G386" s="78">
        <v>1.0</v>
      </c>
      <c r="H386" s="73">
        <f t="shared" si="20"/>
        <v>24.7</v>
      </c>
      <c r="L386" s="59"/>
      <c r="M386" s="59"/>
      <c r="N386" s="59"/>
      <c r="T386" s="80"/>
      <c r="U386" s="80"/>
    </row>
    <row r="387">
      <c r="A387" s="36" t="s">
        <v>84</v>
      </c>
      <c r="B387" s="60">
        <v>27.0</v>
      </c>
      <c r="C387" s="60">
        <v>4.0</v>
      </c>
      <c r="D387" s="60">
        <v>7.0</v>
      </c>
      <c r="E387" s="60">
        <v>1.0</v>
      </c>
      <c r="F387" s="60">
        <v>0.0</v>
      </c>
      <c r="G387" s="71">
        <v>4.0</v>
      </c>
      <c r="H387" s="73">
        <f t="shared" si="20"/>
        <v>40.3</v>
      </c>
      <c r="L387" s="59"/>
      <c r="M387" s="59"/>
      <c r="N387" s="59"/>
      <c r="T387" s="80"/>
      <c r="U387" s="80"/>
    </row>
    <row r="388">
      <c r="A388" s="36" t="s">
        <v>100</v>
      </c>
      <c r="B388" s="60">
        <v>12.0</v>
      </c>
      <c r="C388" s="60">
        <v>3.0</v>
      </c>
      <c r="D388" s="60">
        <v>2.0</v>
      </c>
      <c r="E388" s="60">
        <v>2.0</v>
      </c>
      <c r="F388" s="60">
        <v>0.0</v>
      </c>
      <c r="G388" s="71">
        <v>2.0</v>
      </c>
      <c r="H388" s="73">
        <f t="shared" si="20"/>
        <v>20.6</v>
      </c>
      <c r="L388" s="59"/>
      <c r="M388" s="59"/>
      <c r="N388" s="59"/>
      <c r="T388" s="80"/>
      <c r="U388" s="80"/>
    </row>
    <row r="389">
      <c r="A389" s="76" t="s">
        <v>70</v>
      </c>
      <c r="B389" s="60">
        <v>21.0</v>
      </c>
      <c r="C389" s="60">
        <v>15.0</v>
      </c>
      <c r="D389" s="60">
        <v>0.0</v>
      </c>
      <c r="E389" s="60">
        <v>0.0</v>
      </c>
      <c r="F389" s="60">
        <v>0.0</v>
      </c>
      <c r="G389" s="71">
        <v>1.0</v>
      </c>
      <c r="H389" s="73">
        <f t="shared" si="20"/>
        <v>38</v>
      </c>
      <c r="L389" s="59"/>
      <c r="M389" s="59"/>
      <c r="N389" s="59"/>
      <c r="T389" s="80"/>
      <c r="U389" s="80"/>
    </row>
    <row r="390">
      <c r="A390" s="36" t="s">
        <v>126</v>
      </c>
      <c r="B390" s="60">
        <v>2.0</v>
      </c>
      <c r="C390" s="60">
        <v>2.0</v>
      </c>
      <c r="D390" s="60">
        <v>4.0</v>
      </c>
      <c r="E390" s="60">
        <v>2.0</v>
      </c>
      <c r="F390" s="60">
        <v>0.0</v>
      </c>
      <c r="G390" s="71">
        <v>5.0</v>
      </c>
      <c r="H390" s="73">
        <f t="shared" si="20"/>
        <v>9.4</v>
      </c>
      <c r="L390" s="59"/>
      <c r="M390" s="59"/>
      <c r="N390" s="59"/>
      <c r="T390" s="80"/>
      <c r="U390" s="80"/>
    </row>
    <row r="391">
      <c r="A391" s="76" t="s">
        <v>107</v>
      </c>
      <c r="B391" s="60">
        <v>14.0</v>
      </c>
      <c r="C391" s="60">
        <v>4.0</v>
      </c>
      <c r="D391" s="60">
        <v>5.0</v>
      </c>
      <c r="E391" s="60">
        <v>0.0</v>
      </c>
      <c r="F391" s="60">
        <v>2.0</v>
      </c>
      <c r="G391" s="71">
        <v>0.0</v>
      </c>
      <c r="H391" s="73">
        <f t="shared" si="20"/>
        <v>30.3</v>
      </c>
      <c r="L391" s="59"/>
      <c r="M391" s="59"/>
      <c r="N391" s="59"/>
      <c r="T391" s="80"/>
      <c r="U391" s="80"/>
    </row>
    <row r="392">
      <c r="A392" s="76" t="s">
        <v>94</v>
      </c>
      <c r="B392" s="60">
        <v>5.0</v>
      </c>
      <c r="C392" s="60">
        <v>8.0</v>
      </c>
      <c r="D392" s="60">
        <v>2.0</v>
      </c>
      <c r="E392" s="60">
        <v>1.0</v>
      </c>
      <c r="F392" s="60">
        <v>0.0</v>
      </c>
      <c r="G392" s="71">
        <v>1.0</v>
      </c>
      <c r="H392" s="73">
        <f t="shared" si="20"/>
        <v>18.6</v>
      </c>
      <c r="L392" s="59"/>
      <c r="M392" s="59"/>
      <c r="N392" s="59"/>
      <c r="T392" s="80"/>
      <c r="U392" s="80"/>
    </row>
    <row r="393">
      <c r="A393" s="36" t="s">
        <v>119</v>
      </c>
      <c r="B393" s="60">
        <v>23.0</v>
      </c>
      <c r="C393" s="60">
        <v>4.0</v>
      </c>
      <c r="D393" s="60">
        <v>2.0</v>
      </c>
      <c r="E393" s="60">
        <v>1.0</v>
      </c>
      <c r="F393" s="60">
        <v>0.0</v>
      </c>
      <c r="G393" s="71">
        <v>0.0</v>
      </c>
      <c r="H393" s="73">
        <f t="shared" si="20"/>
        <v>32.8</v>
      </c>
      <c r="L393" s="59"/>
      <c r="M393" s="59"/>
      <c r="N393" s="59"/>
      <c r="T393" s="80"/>
      <c r="U393" s="80"/>
    </row>
    <row r="394">
      <c r="A394" s="36" t="s">
        <v>76</v>
      </c>
      <c r="B394" s="60">
        <v>33.0</v>
      </c>
      <c r="C394" s="60">
        <v>7.0</v>
      </c>
      <c r="D394" s="60">
        <v>7.0</v>
      </c>
      <c r="E394" s="60">
        <v>0.0</v>
      </c>
      <c r="F394" s="60">
        <v>0.0</v>
      </c>
      <c r="G394" s="71">
        <v>4.0</v>
      </c>
      <c r="H394" s="73">
        <f t="shared" si="20"/>
        <v>47.9</v>
      </c>
      <c r="L394" s="59"/>
      <c r="M394" s="59"/>
      <c r="N394" s="59"/>
      <c r="T394" s="80"/>
      <c r="U394" s="80"/>
    </row>
    <row r="395">
      <c r="A395" s="76" t="s">
        <v>88</v>
      </c>
      <c r="B395" s="60">
        <v>24.0</v>
      </c>
      <c r="C395" s="60">
        <v>10.0</v>
      </c>
      <c r="D395" s="60">
        <v>12.0</v>
      </c>
      <c r="E395" s="60">
        <v>3.0</v>
      </c>
      <c r="F395" s="60">
        <v>0.0</v>
      </c>
      <c r="G395" s="71">
        <v>4.0</v>
      </c>
      <c r="H395" s="73">
        <f t="shared" si="20"/>
        <v>56</v>
      </c>
      <c r="L395" s="59"/>
      <c r="M395" s="59"/>
      <c r="N395" s="59"/>
      <c r="T395" s="80"/>
      <c r="U395" s="80"/>
    </row>
    <row r="396">
      <c r="A396" s="70" t="s">
        <v>81</v>
      </c>
      <c r="B396" s="68">
        <v>9.0</v>
      </c>
      <c r="C396" s="68">
        <v>13.0</v>
      </c>
      <c r="D396" s="68">
        <v>0.0</v>
      </c>
      <c r="E396" s="68">
        <v>0.0</v>
      </c>
      <c r="F396" s="68">
        <v>4.0</v>
      </c>
      <c r="G396" s="79">
        <v>1.0</v>
      </c>
      <c r="H396" s="73">
        <f t="shared" si="20"/>
        <v>31.6</v>
      </c>
      <c r="L396" s="59"/>
      <c r="M396" s="59"/>
      <c r="N396" s="59"/>
      <c r="T396" s="80"/>
      <c r="U396" s="80"/>
    </row>
    <row r="397">
      <c r="A397" s="36" t="s">
        <v>83</v>
      </c>
      <c r="B397" s="60">
        <v>7.0</v>
      </c>
      <c r="C397" s="60">
        <v>4.0</v>
      </c>
      <c r="D397" s="60">
        <v>7.0</v>
      </c>
      <c r="E397" s="60">
        <v>2.0</v>
      </c>
      <c r="F397" s="60">
        <v>0.0</v>
      </c>
      <c r="G397" s="71">
        <v>0.0</v>
      </c>
      <c r="H397" s="72">
        <f t="shared" si="20"/>
        <v>26.3</v>
      </c>
      <c r="L397" s="59"/>
      <c r="M397" s="59"/>
      <c r="N397" s="59"/>
      <c r="T397" s="80"/>
      <c r="U397" s="80"/>
    </row>
    <row r="398">
      <c r="A398" s="76" t="s">
        <v>113</v>
      </c>
      <c r="B398" s="60">
        <v>17.0</v>
      </c>
      <c r="C398" s="60">
        <v>4.0</v>
      </c>
      <c r="D398" s="60">
        <v>2.0</v>
      </c>
      <c r="E398" s="60">
        <v>3.0</v>
      </c>
      <c r="F398" s="60">
        <v>1.0</v>
      </c>
      <c r="G398" s="71">
        <v>1.0</v>
      </c>
      <c r="H398" s="72">
        <f t="shared" si="20"/>
        <v>31.8</v>
      </c>
      <c r="L398" s="59"/>
      <c r="M398" s="59"/>
      <c r="N398" s="59"/>
      <c r="T398" s="80"/>
      <c r="U398" s="80"/>
    </row>
    <row r="399">
      <c r="A399" s="70" t="s">
        <v>66</v>
      </c>
      <c r="B399" s="60">
        <v>27.0</v>
      </c>
      <c r="C399" s="60">
        <v>13.0</v>
      </c>
      <c r="D399" s="60">
        <v>3.0</v>
      </c>
      <c r="E399" s="60">
        <v>4.0</v>
      </c>
      <c r="F399" s="60">
        <v>0.0</v>
      </c>
      <c r="G399" s="71">
        <v>2.0</v>
      </c>
      <c r="H399" s="72">
        <f t="shared" si="20"/>
        <v>53.1</v>
      </c>
      <c r="L399" s="59"/>
      <c r="M399" s="59"/>
      <c r="N399" s="59"/>
      <c r="T399" s="80"/>
      <c r="U399" s="80"/>
    </row>
    <row r="400">
      <c r="A400" s="76" t="s">
        <v>101</v>
      </c>
      <c r="B400" s="60">
        <v>8.0</v>
      </c>
      <c r="C400" s="60">
        <v>13.0</v>
      </c>
      <c r="D400" s="60">
        <v>0.0</v>
      </c>
      <c r="E400" s="60">
        <v>0.0</v>
      </c>
      <c r="F400" s="60">
        <v>0.0</v>
      </c>
      <c r="G400" s="71">
        <v>2.0</v>
      </c>
      <c r="H400" s="72">
        <f t="shared" si="20"/>
        <v>21.6</v>
      </c>
      <c r="L400" s="59"/>
      <c r="M400" s="59"/>
      <c r="N400" s="59"/>
      <c r="T400" s="80"/>
      <c r="U400" s="80"/>
    </row>
    <row r="401">
      <c r="A401" s="36" t="s">
        <v>105</v>
      </c>
      <c r="B401" s="77">
        <v>2.0</v>
      </c>
      <c r="C401" s="77">
        <v>2.0</v>
      </c>
      <c r="D401" s="77">
        <v>1.0</v>
      </c>
      <c r="E401" s="77">
        <v>0.0</v>
      </c>
      <c r="F401" s="77">
        <v>1.0</v>
      </c>
      <c r="G401" s="78">
        <v>2.0</v>
      </c>
      <c r="H401" s="72">
        <f t="shared" si="20"/>
        <v>5.9</v>
      </c>
      <c r="L401" s="59"/>
      <c r="M401" s="59"/>
      <c r="N401" s="59"/>
      <c r="T401" s="80"/>
      <c r="U401" s="80"/>
    </row>
    <row r="402">
      <c r="A402" s="76" t="s">
        <v>73</v>
      </c>
      <c r="B402" s="60">
        <v>25.0</v>
      </c>
      <c r="C402" s="60">
        <v>6.0</v>
      </c>
      <c r="D402" s="60">
        <v>6.0</v>
      </c>
      <c r="E402" s="60">
        <v>2.0</v>
      </c>
      <c r="F402" s="60">
        <v>0.0</v>
      </c>
      <c r="G402" s="71">
        <v>3.0</v>
      </c>
      <c r="H402" s="73">
        <f t="shared" si="20"/>
        <v>42.2</v>
      </c>
      <c r="L402" s="59"/>
      <c r="M402" s="59"/>
      <c r="N402" s="59"/>
      <c r="T402" s="80"/>
      <c r="U402" s="80"/>
    </row>
    <row r="403">
      <c r="A403" s="76" t="s">
        <v>97</v>
      </c>
      <c r="B403" s="60">
        <v>6.0</v>
      </c>
      <c r="C403" s="60">
        <v>3.0</v>
      </c>
      <c r="D403" s="60">
        <v>1.0</v>
      </c>
      <c r="E403" s="60">
        <v>1.0</v>
      </c>
      <c r="F403" s="60">
        <v>0.0</v>
      </c>
      <c r="G403" s="71">
        <v>1.0</v>
      </c>
      <c r="H403" s="73">
        <f t="shared" si="20"/>
        <v>12.1</v>
      </c>
      <c r="L403" s="59"/>
      <c r="M403" s="59"/>
      <c r="N403" s="59"/>
      <c r="T403" s="80"/>
      <c r="U403" s="80"/>
    </row>
    <row r="404">
      <c r="A404" s="76" t="s">
        <v>91</v>
      </c>
      <c r="B404" s="60">
        <v>10.0</v>
      </c>
      <c r="C404" s="60">
        <v>5.0</v>
      </c>
      <c r="D404" s="60">
        <v>0.0</v>
      </c>
      <c r="E404" s="60">
        <v>1.0</v>
      </c>
      <c r="F404" s="60">
        <v>0.0</v>
      </c>
      <c r="G404" s="71">
        <v>2.0</v>
      </c>
      <c r="H404" s="73">
        <f t="shared" si="20"/>
        <v>16</v>
      </c>
      <c r="L404" s="59"/>
      <c r="M404" s="59"/>
      <c r="N404" s="59"/>
      <c r="T404" s="80"/>
      <c r="U404" s="80"/>
    </row>
    <row r="405">
      <c r="A405" s="76" t="s">
        <v>120</v>
      </c>
      <c r="B405" s="60">
        <v>12.0</v>
      </c>
      <c r="C405" s="60">
        <v>1.0</v>
      </c>
      <c r="D405" s="60">
        <v>4.0</v>
      </c>
      <c r="E405" s="60">
        <v>0.0</v>
      </c>
      <c r="F405" s="60">
        <v>0.0</v>
      </c>
      <c r="G405" s="71">
        <v>1.0</v>
      </c>
      <c r="H405" s="73">
        <f t="shared" si="20"/>
        <v>18.2</v>
      </c>
      <c r="L405" s="59"/>
      <c r="M405" s="59"/>
      <c r="N405" s="59"/>
      <c r="T405" s="80"/>
      <c r="U405" s="80"/>
    </row>
    <row r="406">
      <c r="A406" s="70" t="s">
        <v>111</v>
      </c>
      <c r="B406" s="77">
        <v>21.0</v>
      </c>
      <c r="C406" s="77">
        <v>6.0</v>
      </c>
      <c r="D406" s="77">
        <v>3.0</v>
      </c>
      <c r="E406" s="77">
        <v>1.0</v>
      </c>
      <c r="F406" s="77">
        <v>0.0</v>
      </c>
      <c r="G406" s="78">
        <v>1.0</v>
      </c>
      <c r="H406" s="73">
        <f t="shared" si="20"/>
        <v>33.7</v>
      </c>
      <c r="L406" s="59"/>
      <c r="M406" s="59"/>
      <c r="N406" s="59"/>
      <c r="T406" s="80"/>
      <c r="U406" s="80"/>
    </row>
    <row r="407">
      <c r="A407" s="36" t="s">
        <v>87</v>
      </c>
      <c r="B407" s="60">
        <v>12.0</v>
      </c>
      <c r="C407" s="60">
        <v>1.0</v>
      </c>
      <c r="D407" s="60">
        <v>0.0</v>
      </c>
      <c r="E407" s="60">
        <v>1.0</v>
      </c>
      <c r="F407" s="60">
        <v>1.0</v>
      </c>
      <c r="G407" s="71">
        <v>2.0</v>
      </c>
      <c r="H407" s="73">
        <f t="shared" si="20"/>
        <v>15.2</v>
      </c>
      <c r="L407" s="59"/>
      <c r="M407" s="59"/>
      <c r="N407" s="59"/>
      <c r="T407" s="80"/>
      <c r="U407" s="80"/>
    </row>
    <row r="408">
      <c r="A408" s="36" t="s">
        <v>92</v>
      </c>
      <c r="B408" s="60">
        <v>11.0</v>
      </c>
      <c r="C408" s="60">
        <v>5.0</v>
      </c>
      <c r="D408" s="60">
        <v>5.0</v>
      </c>
      <c r="E408" s="60">
        <v>0.0</v>
      </c>
      <c r="F408" s="60">
        <v>0.0</v>
      </c>
      <c r="G408" s="71">
        <v>2.0</v>
      </c>
      <c r="H408" s="73">
        <f t="shared" si="20"/>
        <v>22.5</v>
      </c>
      <c r="L408" s="59"/>
      <c r="M408" s="59"/>
      <c r="N408" s="59"/>
      <c r="T408" s="80"/>
      <c r="U408" s="80"/>
    </row>
    <row r="409">
      <c r="A409" s="76" t="s">
        <v>114</v>
      </c>
      <c r="B409" s="60">
        <v>20.0</v>
      </c>
      <c r="C409" s="60">
        <v>7.0</v>
      </c>
      <c r="D409" s="60">
        <v>3.0</v>
      </c>
      <c r="E409" s="60">
        <v>0.0</v>
      </c>
      <c r="F409" s="60">
        <v>0.0</v>
      </c>
      <c r="G409" s="71">
        <v>1.0</v>
      </c>
      <c r="H409" s="73">
        <f t="shared" si="20"/>
        <v>31.9</v>
      </c>
      <c r="L409" s="59"/>
      <c r="M409" s="59"/>
      <c r="N409" s="59"/>
      <c r="T409" s="80"/>
      <c r="U409" s="80"/>
    </row>
    <row r="410">
      <c r="A410" s="36" t="s">
        <v>121</v>
      </c>
      <c r="B410" s="60">
        <v>8.0</v>
      </c>
      <c r="C410" s="60">
        <v>14.0</v>
      </c>
      <c r="D410" s="60">
        <v>3.0</v>
      </c>
      <c r="E410" s="60">
        <v>1.0</v>
      </c>
      <c r="F410" s="60">
        <v>1.0</v>
      </c>
      <c r="G410" s="71">
        <v>1.0</v>
      </c>
      <c r="H410" s="73">
        <f t="shared" si="20"/>
        <v>32.3</v>
      </c>
      <c r="L410" s="59"/>
      <c r="M410" s="59"/>
      <c r="N410" s="59"/>
      <c r="T410" s="80"/>
      <c r="U410" s="80"/>
    </row>
    <row r="411">
      <c r="A411" s="76" t="s">
        <v>85</v>
      </c>
      <c r="B411" s="60">
        <v>3.0</v>
      </c>
      <c r="C411" s="60">
        <v>9.0</v>
      </c>
      <c r="D411" s="60">
        <v>0.0</v>
      </c>
      <c r="E411" s="60">
        <v>0.0</v>
      </c>
      <c r="F411" s="60">
        <v>1.0</v>
      </c>
      <c r="G411" s="71">
        <v>1.0</v>
      </c>
      <c r="H411" s="73">
        <f t="shared" si="20"/>
        <v>14.8</v>
      </c>
      <c r="L411" s="59"/>
      <c r="M411" s="59"/>
      <c r="N411" s="59"/>
      <c r="T411" s="80"/>
      <c r="U411" s="80"/>
    </row>
    <row r="412">
      <c r="A412" s="76" t="s">
        <v>72</v>
      </c>
      <c r="B412" s="60">
        <v>17.0</v>
      </c>
      <c r="C412" s="60">
        <v>4.0</v>
      </c>
      <c r="D412" s="60">
        <v>5.0</v>
      </c>
      <c r="E412" s="60">
        <v>1.0</v>
      </c>
      <c r="F412" s="60">
        <v>0.0</v>
      </c>
      <c r="G412" s="71">
        <v>4.0</v>
      </c>
      <c r="H412" s="73">
        <f t="shared" si="20"/>
        <v>27.3</v>
      </c>
      <c r="L412" s="59"/>
      <c r="M412" s="59"/>
      <c r="N412" s="59"/>
      <c r="T412" s="80"/>
      <c r="U412" s="80"/>
    </row>
    <row r="413">
      <c r="A413" s="36" t="s">
        <v>44</v>
      </c>
      <c r="B413" s="60">
        <v>21.0</v>
      </c>
      <c r="C413" s="60">
        <v>1.0</v>
      </c>
      <c r="D413" s="60">
        <v>6.0</v>
      </c>
      <c r="E413" s="60">
        <v>1.0</v>
      </c>
      <c r="F413" s="60">
        <v>0.0</v>
      </c>
      <c r="G413" s="71">
        <v>3.0</v>
      </c>
      <c r="H413" s="73">
        <f t="shared" si="20"/>
        <v>30.2</v>
      </c>
      <c r="L413" s="59"/>
      <c r="M413" s="59"/>
      <c r="N413" s="59"/>
      <c r="T413" s="80"/>
      <c r="U413" s="80"/>
    </row>
    <row r="414">
      <c r="A414" s="36" t="s">
        <v>80</v>
      </c>
      <c r="B414" s="60">
        <v>10.0</v>
      </c>
      <c r="C414" s="60">
        <v>3.0</v>
      </c>
      <c r="D414" s="60">
        <v>5.0</v>
      </c>
      <c r="E414" s="60">
        <v>3.0</v>
      </c>
      <c r="F414" s="60">
        <v>1.0</v>
      </c>
      <c r="G414" s="71">
        <v>1.0</v>
      </c>
      <c r="H414" s="73">
        <f t="shared" si="20"/>
        <v>28.1</v>
      </c>
      <c r="L414" s="59"/>
      <c r="M414" s="59"/>
      <c r="N414" s="59"/>
      <c r="T414" s="80"/>
      <c r="U414" s="80"/>
    </row>
    <row r="415">
      <c r="A415" s="76" t="s">
        <v>58</v>
      </c>
      <c r="B415" s="60">
        <v>15.0</v>
      </c>
      <c r="C415" s="60">
        <v>16.0</v>
      </c>
      <c r="D415" s="60">
        <v>6.0</v>
      </c>
      <c r="E415" s="60">
        <v>0.0</v>
      </c>
      <c r="F415" s="60">
        <v>1.0</v>
      </c>
      <c r="G415" s="71">
        <v>4.0</v>
      </c>
      <c r="H415" s="73">
        <f t="shared" si="20"/>
        <v>41.2</v>
      </c>
      <c r="L415" s="59"/>
      <c r="M415" s="59"/>
      <c r="N415" s="59"/>
      <c r="T415" s="80"/>
      <c r="U415" s="80"/>
    </row>
    <row r="416">
      <c r="A416" s="70" t="s">
        <v>102</v>
      </c>
      <c r="B416" s="68">
        <v>11.0</v>
      </c>
      <c r="C416" s="68">
        <v>6.0</v>
      </c>
      <c r="D416" s="68">
        <v>3.0</v>
      </c>
      <c r="E416" s="68">
        <v>1.0</v>
      </c>
      <c r="F416" s="68">
        <v>0.0</v>
      </c>
      <c r="G416" s="79">
        <v>2.0</v>
      </c>
      <c r="H416" s="73">
        <f t="shared" si="20"/>
        <v>22.7</v>
      </c>
      <c r="L416" s="59"/>
      <c r="M416" s="59"/>
      <c r="N416" s="59"/>
      <c r="T416" s="80"/>
      <c r="U416" s="80"/>
    </row>
    <row r="417">
      <c r="A417" s="36" t="s">
        <v>93</v>
      </c>
      <c r="B417" s="60">
        <v>23.0</v>
      </c>
      <c r="C417" s="60">
        <v>3.0</v>
      </c>
      <c r="D417" s="60">
        <v>2.0</v>
      </c>
      <c r="E417" s="60">
        <v>0.0</v>
      </c>
      <c r="F417" s="60">
        <v>0.0</v>
      </c>
      <c r="G417" s="71">
        <v>2.0</v>
      </c>
      <c r="H417" s="72">
        <f t="shared" si="20"/>
        <v>27.6</v>
      </c>
      <c r="L417" s="59"/>
      <c r="M417" s="59"/>
      <c r="N417" s="59"/>
      <c r="T417" s="80"/>
      <c r="U417" s="80"/>
    </row>
    <row r="418">
      <c r="A418" s="76" t="s">
        <v>130</v>
      </c>
      <c r="B418" s="60">
        <v>13.0</v>
      </c>
      <c r="C418" s="60">
        <v>2.0</v>
      </c>
      <c r="D418" s="60">
        <v>2.0</v>
      </c>
      <c r="E418" s="60">
        <v>1.0</v>
      </c>
      <c r="F418" s="60">
        <v>1.0</v>
      </c>
      <c r="G418" s="71">
        <v>3.0</v>
      </c>
      <c r="H418" s="72">
        <f t="shared" si="20"/>
        <v>19.4</v>
      </c>
      <c r="L418" s="59"/>
      <c r="M418" s="59"/>
      <c r="N418" s="59"/>
      <c r="T418" s="80"/>
      <c r="U418" s="80"/>
    </row>
    <row r="419">
      <c r="A419" s="70" t="s">
        <v>69</v>
      </c>
      <c r="B419" s="60">
        <v>42.0</v>
      </c>
      <c r="C419" s="60">
        <v>8.0</v>
      </c>
      <c r="D419" s="60">
        <v>4.0</v>
      </c>
      <c r="E419" s="60">
        <v>4.0</v>
      </c>
      <c r="F419" s="60">
        <v>2.0</v>
      </c>
      <c r="G419" s="71">
        <v>3.0</v>
      </c>
      <c r="H419" s="72">
        <f t="shared" si="20"/>
        <v>66.6</v>
      </c>
      <c r="L419" s="59"/>
      <c r="M419" s="59"/>
      <c r="N419" s="59"/>
      <c r="T419" s="80"/>
      <c r="U419" s="80"/>
    </row>
    <row r="420">
      <c r="A420" s="76" t="s">
        <v>89</v>
      </c>
      <c r="B420" s="60">
        <v>6.0</v>
      </c>
      <c r="C420" s="60">
        <v>9.0</v>
      </c>
      <c r="D420" s="60">
        <v>5.0</v>
      </c>
      <c r="E420" s="60">
        <v>1.0</v>
      </c>
      <c r="F420" s="60">
        <v>0.0</v>
      </c>
      <c r="G420" s="71">
        <v>3.0</v>
      </c>
      <c r="H420" s="72">
        <f t="shared" si="20"/>
        <v>23.3</v>
      </c>
      <c r="L420" s="59"/>
      <c r="M420" s="59"/>
      <c r="N420" s="59"/>
      <c r="T420" s="80"/>
      <c r="U420" s="80"/>
    </row>
    <row r="421">
      <c r="A421" s="36" t="s">
        <v>81</v>
      </c>
      <c r="B421" s="77">
        <v>8.0</v>
      </c>
      <c r="C421" s="77">
        <v>6.0</v>
      </c>
      <c r="D421" s="77">
        <v>1.0</v>
      </c>
      <c r="E421" s="77">
        <v>0.0</v>
      </c>
      <c r="F421" s="77">
        <v>1.0</v>
      </c>
      <c r="G421" s="78">
        <v>0.0</v>
      </c>
      <c r="H421" s="72">
        <f t="shared" si="20"/>
        <v>18.7</v>
      </c>
      <c r="L421" s="59"/>
      <c r="M421" s="59"/>
      <c r="N421" s="59"/>
      <c r="T421" s="80"/>
      <c r="U421" s="80"/>
    </row>
    <row r="422">
      <c r="A422" s="76" t="s">
        <v>78</v>
      </c>
      <c r="B422" s="60">
        <v>30.0</v>
      </c>
      <c r="C422" s="60">
        <v>4.0</v>
      </c>
      <c r="D422" s="60">
        <v>5.0</v>
      </c>
      <c r="E422" s="60">
        <v>2.0</v>
      </c>
      <c r="F422" s="60">
        <v>0.0</v>
      </c>
      <c r="G422" s="71">
        <v>3.0</v>
      </c>
      <c r="H422" s="73">
        <f t="shared" si="20"/>
        <v>43.3</v>
      </c>
      <c r="L422" s="59"/>
      <c r="M422" s="59"/>
      <c r="N422" s="59"/>
      <c r="T422" s="80"/>
      <c r="U422" s="80"/>
    </row>
    <row r="423">
      <c r="A423" s="76" t="s">
        <v>100</v>
      </c>
      <c r="B423" s="60">
        <v>23.0</v>
      </c>
      <c r="C423" s="60">
        <v>7.0</v>
      </c>
      <c r="D423" s="60">
        <v>3.0</v>
      </c>
      <c r="E423" s="60">
        <v>4.0</v>
      </c>
      <c r="F423" s="60">
        <v>1.0</v>
      </c>
      <c r="G423" s="71">
        <v>2.0</v>
      </c>
      <c r="H423" s="73">
        <f t="shared" si="20"/>
        <v>43.9</v>
      </c>
      <c r="L423" s="59"/>
      <c r="M423" s="59"/>
      <c r="N423" s="59"/>
      <c r="T423" s="80"/>
      <c r="U423" s="80"/>
    </row>
    <row r="424">
      <c r="A424" s="76" t="s">
        <v>98</v>
      </c>
      <c r="B424" s="60">
        <v>20.0</v>
      </c>
      <c r="C424" s="60">
        <v>7.0</v>
      </c>
      <c r="D424" s="60">
        <v>2.0</v>
      </c>
      <c r="E424" s="60">
        <v>0.0</v>
      </c>
      <c r="F424" s="60">
        <v>0.0</v>
      </c>
      <c r="G424" s="71">
        <v>5.0</v>
      </c>
      <c r="H424" s="73">
        <f t="shared" si="20"/>
        <v>26.4</v>
      </c>
      <c r="L424" s="59"/>
      <c r="M424" s="59"/>
      <c r="N424" s="59"/>
      <c r="T424" s="80"/>
      <c r="U424" s="80"/>
    </row>
    <row r="425">
      <c r="A425" s="76" t="s">
        <v>131</v>
      </c>
      <c r="B425" s="60">
        <v>23.0</v>
      </c>
      <c r="C425" s="60">
        <v>0.0</v>
      </c>
      <c r="D425" s="60">
        <v>1.0</v>
      </c>
      <c r="E425" s="60">
        <v>1.0</v>
      </c>
      <c r="F425" s="60">
        <v>0.0</v>
      </c>
      <c r="G425" s="71">
        <v>2.0</v>
      </c>
      <c r="H425" s="73">
        <f t="shared" si="20"/>
        <v>24.5</v>
      </c>
      <c r="L425" s="59"/>
      <c r="M425" s="59"/>
      <c r="N425" s="59"/>
      <c r="T425" s="80"/>
      <c r="U425" s="80"/>
    </row>
    <row r="426">
      <c r="A426" s="70" t="s">
        <v>126</v>
      </c>
      <c r="B426" s="77">
        <v>14.0</v>
      </c>
      <c r="C426" s="77">
        <v>7.0</v>
      </c>
      <c r="D426" s="77">
        <v>2.0</v>
      </c>
      <c r="E426" s="77">
        <v>0.0</v>
      </c>
      <c r="F426" s="77">
        <v>0.0</v>
      </c>
      <c r="G426" s="78">
        <v>2.0</v>
      </c>
      <c r="H426" s="73">
        <f t="shared" si="20"/>
        <v>23.4</v>
      </c>
      <c r="L426" s="59"/>
      <c r="M426" s="59"/>
      <c r="N426" s="59"/>
      <c r="T426" s="80"/>
      <c r="U426" s="80"/>
    </row>
    <row r="427">
      <c r="A427" s="36" t="s">
        <v>84</v>
      </c>
      <c r="B427" s="60">
        <v>39.0</v>
      </c>
      <c r="C427" s="60">
        <v>5.0</v>
      </c>
      <c r="D427" s="60">
        <v>12.0</v>
      </c>
      <c r="E427" s="60">
        <v>0.0</v>
      </c>
      <c r="F427" s="60">
        <v>0.0</v>
      </c>
      <c r="G427" s="71">
        <v>1.0</v>
      </c>
      <c r="H427" s="73">
        <f t="shared" si="20"/>
        <v>62</v>
      </c>
      <c r="L427" s="59"/>
      <c r="M427" s="59"/>
      <c r="N427" s="59"/>
      <c r="T427" s="80"/>
      <c r="U427" s="80"/>
    </row>
    <row r="428">
      <c r="A428" s="36" t="s">
        <v>94</v>
      </c>
      <c r="B428" s="60">
        <v>11.0</v>
      </c>
      <c r="C428" s="60">
        <v>3.0</v>
      </c>
      <c r="D428" s="60">
        <v>1.0</v>
      </c>
      <c r="E428" s="60">
        <v>4.0</v>
      </c>
      <c r="F428" s="60">
        <v>0.0</v>
      </c>
      <c r="G428" s="71">
        <v>2.0</v>
      </c>
      <c r="H428" s="73">
        <f t="shared" si="20"/>
        <v>22.1</v>
      </c>
      <c r="L428" s="59"/>
      <c r="M428" s="59"/>
      <c r="N428" s="59"/>
      <c r="T428" s="80"/>
      <c r="U428" s="80"/>
    </row>
    <row r="429">
      <c r="A429" s="76" t="s">
        <v>70</v>
      </c>
      <c r="B429" s="60">
        <v>23.0</v>
      </c>
      <c r="C429" s="60">
        <v>11.0</v>
      </c>
      <c r="D429" s="60">
        <v>1.0</v>
      </c>
      <c r="E429" s="60">
        <v>0.0</v>
      </c>
      <c r="F429" s="60">
        <v>1.0</v>
      </c>
      <c r="G429" s="71">
        <v>4.0</v>
      </c>
      <c r="H429" s="73">
        <f t="shared" si="20"/>
        <v>35.7</v>
      </c>
      <c r="L429" s="59"/>
      <c r="M429" s="59"/>
      <c r="N429" s="59"/>
      <c r="T429" s="80"/>
      <c r="U429" s="80"/>
    </row>
    <row r="430">
      <c r="A430" s="36" t="s">
        <v>110</v>
      </c>
      <c r="B430" s="60">
        <v>10.0</v>
      </c>
      <c r="C430" s="60">
        <v>13.0</v>
      </c>
      <c r="D430" s="60">
        <v>2.0</v>
      </c>
      <c r="E430" s="60">
        <v>1.0</v>
      </c>
      <c r="F430" s="60">
        <v>1.0</v>
      </c>
      <c r="G430" s="71">
        <v>1.0</v>
      </c>
      <c r="H430" s="73">
        <f t="shared" si="20"/>
        <v>31.6</v>
      </c>
      <c r="L430" s="59"/>
      <c r="M430" s="59"/>
      <c r="N430" s="59"/>
      <c r="T430" s="80"/>
      <c r="U430" s="80"/>
    </row>
    <row r="431">
      <c r="A431" s="76" t="s">
        <v>107</v>
      </c>
      <c r="B431" s="60">
        <v>13.0</v>
      </c>
      <c r="C431" s="60">
        <v>4.0</v>
      </c>
      <c r="D431" s="60">
        <v>1.0</v>
      </c>
      <c r="E431" s="60">
        <v>2.0</v>
      </c>
      <c r="F431" s="60">
        <v>0.0</v>
      </c>
      <c r="G431" s="71">
        <v>4.0</v>
      </c>
      <c r="H431" s="73">
        <f t="shared" si="20"/>
        <v>19.3</v>
      </c>
      <c r="L431" s="59"/>
      <c r="M431" s="59"/>
      <c r="N431" s="59"/>
      <c r="T431" s="80"/>
      <c r="U431" s="80"/>
    </row>
    <row r="432">
      <c r="A432" s="76" t="s">
        <v>129</v>
      </c>
      <c r="B432" s="60">
        <v>4.0</v>
      </c>
      <c r="C432" s="60">
        <v>4.0</v>
      </c>
      <c r="D432" s="60">
        <v>3.0</v>
      </c>
      <c r="E432" s="60">
        <v>1.0</v>
      </c>
      <c r="F432" s="60">
        <v>0.0</v>
      </c>
      <c r="G432" s="71">
        <v>0.0</v>
      </c>
      <c r="H432" s="73">
        <f t="shared" si="20"/>
        <v>15.3</v>
      </c>
      <c r="L432" s="59"/>
      <c r="M432" s="59"/>
      <c r="N432" s="59"/>
      <c r="T432" s="80"/>
      <c r="U432" s="80"/>
    </row>
    <row r="433">
      <c r="A433" s="36" t="s">
        <v>119</v>
      </c>
      <c r="B433" s="60">
        <v>12.0</v>
      </c>
      <c r="C433" s="60">
        <v>0.0</v>
      </c>
      <c r="D433" s="60">
        <v>0.0</v>
      </c>
      <c r="E433" s="60">
        <v>1.0</v>
      </c>
      <c r="F433" s="60">
        <v>0.0</v>
      </c>
      <c r="G433" s="71">
        <v>1.0</v>
      </c>
      <c r="H433" s="73">
        <f t="shared" si="20"/>
        <v>13</v>
      </c>
      <c r="L433" s="59"/>
      <c r="M433" s="59"/>
      <c r="N433" s="59"/>
      <c r="T433" s="80"/>
      <c r="U433" s="80"/>
    </row>
    <row r="434">
      <c r="A434" s="36" t="s">
        <v>88</v>
      </c>
      <c r="B434" s="60">
        <v>31.0</v>
      </c>
      <c r="C434" s="60">
        <v>5.0</v>
      </c>
      <c r="D434" s="60">
        <v>3.0</v>
      </c>
      <c r="E434" s="60">
        <v>1.0</v>
      </c>
      <c r="F434" s="60">
        <v>1.0</v>
      </c>
      <c r="G434" s="71">
        <v>4.0</v>
      </c>
      <c r="H434" s="73">
        <f t="shared" si="20"/>
        <v>41.5</v>
      </c>
      <c r="L434" s="59"/>
      <c r="M434" s="59"/>
      <c r="N434" s="59"/>
      <c r="T434" s="80"/>
      <c r="U434" s="80"/>
    </row>
    <row r="435">
      <c r="A435" s="76" t="s">
        <v>76</v>
      </c>
      <c r="B435" s="60">
        <v>14.0</v>
      </c>
      <c r="C435" s="60">
        <v>6.0</v>
      </c>
      <c r="D435" s="60">
        <v>3.0</v>
      </c>
      <c r="E435" s="60">
        <v>0.0</v>
      </c>
      <c r="F435" s="60">
        <v>1.0</v>
      </c>
      <c r="G435" s="71">
        <v>2.0</v>
      </c>
      <c r="H435" s="73">
        <f t="shared" si="20"/>
        <v>25.7</v>
      </c>
      <c r="L435" s="59"/>
      <c r="M435" s="59"/>
      <c r="N435" s="59"/>
      <c r="T435" s="80"/>
      <c r="U435" s="80"/>
    </row>
    <row r="436">
      <c r="A436" s="70" t="s">
        <v>82</v>
      </c>
      <c r="B436" s="68">
        <v>20.0</v>
      </c>
      <c r="C436" s="68">
        <v>3.0</v>
      </c>
      <c r="D436" s="68">
        <v>2.0</v>
      </c>
      <c r="E436" s="68">
        <v>0.0</v>
      </c>
      <c r="F436" s="68">
        <v>0.0</v>
      </c>
      <c r="G436" s="79">
        <v>0.0</v>
      </c>
      <c r="H436" s="73">
        <f t="shared" si="20"/>
        <v>26.6</v>
      </c>
      <c r="L436" s="59"/>
      <c r="M436" s="59"/>
      <c r="N436" s="59"/>
      <c r="T436" s="80"/>
      <c r="U436" s="80"/>
    </row>
    <row r="437">
      <c r="A437" s="36" t="s">
        <v>44</v>
      </c>
      <c r="B437" s="60">
        <v>11.0</v>
      </c>
      <c r="C437" s="60">
        <v>4.0</v>
      </c>
      <c r="D437" s="60">
        <v>3.0</v>
      </c>
      <c r="E437" s="60">
        <v>0.0</v>
      </c>
      <c r="F437" s="60">
        <v>0.0</v>
      </c>
      <c r="G437" s="71">
        <v>5.0</v>
      </c>
      <c r="H437" s="72">
        <f t="shared" si="20"/>
        <v>15.3</v>
      </c>
      <c r="L437" s="59"/>
      <c r="M437" s="59"/>
      <c r="N437" s="59"/>
      <c r="T437" s="80"/>
      <c r="U437" s="80"/>
    </row>
    <row r="438">
      <c r="A438" s="76" t="s">
        <v>83</v>
      </c>
      <c r="B438" s="60">
        <v>18.0</v>
      </c>
      <c r="C438" s="60">
        <v>3.0</v>
      </c>
      <c r="D438" s="60">
        <v>6.0</v>
      </c>
      <c r="E438" s="60">
        <v>1.0</v>
      </c>
      <c r="F438" s="60">
        <v>1.0</v>
      </c>
      <c r="G438" s="71">
        <v>2.0</v>
      </c>
      <c r="H438" s="72">
        <f t="shared" si="20"/>
        <v>32.6</v>
      </c>
      <c r="L438" s="59"/>
      <c r="M438" s="59"/>
      <c r="N438" s="59"/>
      <c r="T438" s="80"/>
      <c r="U438" s="80"/>
    </row>
    <row r="439">
      <c r="A439" s="70" t="s">
        <v>66</v>
      </c>
      <c r="B439" s="60">
        <v>44.0</v>
      </c>
      <c r="C439" s="60">
        <v>15.0</v>
      </c>
      <c r="D439" s="60">
        <v>5.0</v>
      </c>
      <c r="E439" s="60">
        <v>2.0</v>
      </c>
      <c r="F439" s="60">
        <v>0.0</v>
      </c>
      <c r="G439" s="71">
        <v>2.0</v>
      </c>
      <c r="H439" s="72">
        <f t="shared" si="20"/>
        <v>71.5</v>
      </c>
      <c r="L439" s="59"/>
      <c r="M439" s="59"/>
      <c r="N439" s="59"/>
      <c r="T439" s="80"/>
      <c r="U439" s="80"/>
    </row>
    <row r="440">
      <c r="A440" s="76" t="s">
        <v>58</v>
      </c>
      <c r="B440" s="60">
        <v>13.0</v>
      </c>
      <c r="C440" s="60">
        <v>5.0</v>
      </c>
      <c r="D440" s="60">
        <v>3.0</v>
      </c>
      <c r="E440" s="60">
        <v>1.0</v>
      </c>
      <c r="F440" s="60">
        <v>0.0</v>
      </c>
      <c r="G440" s="71">
        <v>3.0</v>
      </c>
      <c r="H440" s="72">
        <f t="shared" si="20"/>
        <v>22.5</v>
      </c>
      <c r="L440" s="59"/>
      <c r="M440" s="59"/>
      <c r="N440" s="59"/>
      <c r="T440" s="80"/>
      <c r="U440" s="80"/>
    </row>
    <row r="441">
      <c r="A441" s="36" t="s">
        <v>85</v>
      </c>
      <c r="B441" s="77">
        <v>2.0</v>
      </c>
      <c r="C441" s="77">
        <v>4.0</v>
      </c>
      <c r="D441" s="77">
        <v>2.0</v>
      </c>
      <c r="E441" s="77">
        <v>2.0</v>
      </c>
      <c r="F441" s="77">
        <v>0.0</v>
      </c>
      <c r="G441" s="78">
        <v>1.0</v>
      </c>
      <c r="H441" s="72">
        <f t="shared" si="20"/>
        <v>12.8</v>
      </c>
      <c r="L441" s="59"/>
      <c r="M441" s="59"/>
      <c r="N441" s="59"/>
      <c r="T441" s="80"/>
      <c r="U441" s="80"/>
    </row>
    <row r="442">
      <c r="A442" s="76" t="s">
        <v>73</v>
      </c>
      <c r="B442" s="60">
        <v>31.0</v>
      </c>
      <c r="C442" s="60">
        <v>6.0</v>
      </c>
      <c r="D442" s="60">
        <v>7.0</v>
      </c>
      <c r="E442" s="60">
        <v>2.0</v>
      </c>
      <c r="F442" s="60">
        <v>2.0</v>
      </c>
      <c r="G442" s="71">
        <v>5.0</v>
      </c>
      <c r="H442" s="73">
        <f t="shared" si="20"/>
        <v>51.7</v>
      </c>
      <c r="L442" s="59"/>
      <c r="M442" s="59"/>
      <c r="N442" s="59"/>
      <c r="T442" s="80"/>
      <c r="U442" s="80"/>
    </row>
    <row r="443">
      <c r="A443" s="76" t="s">
        <v>113</v>
      </c>
      <c r="B443" s="60">
        <v>8.0</v>
      </c>
      <c r="C443" s="60">
        <v>7.0</v>
      </c>
      <c r="D443" s="60">
        <v>3.0</v>
      </c>
      <c r="E443" s="60">
        <v>1.0</v>
      </c>
      <c r="F443" s="60">
        <v>2.0</v>
      </c>
      <c r="G443" s="71">
        <v>1.0</v>
      </c>
      <c r="H443" s="73">
        <f t="shared" si="20"/>
        <v>25.9</v>
      </c>
      <c r="L443" s="59"/>
      <c r="M443" s="59"/>
      <c r="N443" s="59"/>
      <c r="T443" s="80"/>
      <c r="U443" s="80"/>
    </row>
    <row r="444">
      <c r="A444" s="76" t="s">
        <v>101</v>
      </c>
      <c r="B444" s="60">
        <v>14.0</v>
      </c>
      <c r="C444" s="60">
        <v>8.0</v>
      </c>
      <c r="D444" s="60">
        <v>1.0</v>
      </c>
      <c r="E444" s="60">
        <v>1.0</v>
      </c>
      <c r="F444" s="60">
        <v>2.0</v>
      </c>
      <c r="G444" s="71">
        <v>1.0</v>
      </c>
      <c r="H444" s="73">
        <f t="shared" si="20"/>
        <v>30.1</v>
      </c>
      <c r="L444" s="59"/>
      <c r="M444" s="59"/>
      <c r="N444" s="59"/>
      <c r="T444" s="80"/>
      <c r="U444" s="80"/>
    </row>
    <row r="445">
      <c r="A445" s="76" t="s">
        <v>114</v>
      </c>
      <c r="B445" s="60">
        <v>10.0</v>
      </c>
      <c r="C445" s="60">
        <v>7.0</v>
      </c>
      <c r="D445" s="60">
        <v>0.0</v>
      </c>
      <c r="E445" s="60">
        <v>0.0</v>
      </c>
      <c r="F445" s="60">
        <v>4.0</v>
      </c>
      <c r="G445" s="71">
        <v>1.0</v>
      </c>
      <c r="H445" s="73">
        <f t="shared" si="20"/>
        <v>25.4</v>
      </c>
      <c r="L445" s="59"/>
      <c r="M445" s="59"/>
      <c r="N445" s="59"/>
      <c r="T445" s="80"/>
      <c r="U445" s="80"/>
    </row>
    <row r="446">
      <c r="A446" s="70" t="s">
        <v>102</v>
      </c>
      <c r="B446" s="77">
        <v>0.0</v>
      </c>
      <c r="C446" s="77">
        <v>7.0</v>
      </c>
      <c r="D446" s="77">
        <v>2.0</v>
      </c>
      <c r="E446" s="77">
        <v>0.0</v>
      </c>
      <c r="F446" s="77">
        <v>0.0</v>
      </c>
      <c r="G446" s="78">
        <v>0.0</v>
      </c>
      <c r="H446" s="73">
        <f t="shared" si="20"/>
        <v>11.4</v>
      </c>
      <c r="L446" s="59"/>
      <c r="M446" s="59"/>
      <c r="N446" s="59"/>
      <c r="T446" s="80"/>
      <c r="U446" s="80"/>
    </row>
    <row r="447">
      <c r="A447" s="36" t="s">
        <v>92</v>
      </c>
      <c r="B447" s="60">
        <v>31.0</v>
      </c>
      <c r="C447" s="60">
        <v>6.0</v>
      </c>
      <c r="D447" s="60">
        <v>8.0</v>
      </c>
      <c r="E447" s="60">
        <v>1.0</v>
      </c>
      <c r="F447" s="60">
        <v>0.0</v>
      </c>
      <c r="G447" s="71">
        <v>4.0</v>
      </c>
      <c r="H447" s="73">
        <f t="shared" si="20"/>
        <v>48.2</v>
      </c>
      <c r="L447" s="59"/>
      <c r="M447" s="59"/>
      <c r="N447" s="59"/>
      <c r="T447" s="80"/>
      <c r="U447" s="80"/>
    </row>
    <row r="448">
      <c r="A448" s="36" t="s">
        <v>117</v>
      </c>
      <c r="B448" s="60">
        <v>8.0</v>
      </c>
      <c r="C448" s="60">
        <v>0.0</v>
      </c>
      <c r="D448" s="60">
        <v>2.0</v>
      </c>
      <c r="E448" s="60">
        <v>1.0</v>
      </c>
      <c r="F448" s="60">
        <v>0.0</v>
      </c>
      <c r="G448" s="71">
        <v>0.0</v>
      </c>
      <c r="H448" s="73">
        <f t="shared" si="20"/>
        <v>13</v>
      </c>
      <c r="L448" s="59"/>
      <c r="M448" s="59"/>
      <c r="N448" s="59"/>
      <c r="T448" s="80"/>
      <c r="U448" s="80"/>
    </row>
    <row r="449">
      <c r="A449" s="76" t="s">
        <v>80</v>
      </c>
      <c r="B449" s="60">
        <v>18.0</v>
      </c>
      <c r="C449" s="60">
        <v>9.0</v>
      </c>
      <c r="D449" s="60">
        <v>4.0</v>
      </c>
      <c r="E449" s="60">
        <v>1.0</v>
      </c>
      <c r="F449" s="60">
        <v>0.0</v>
      </c>
      <c r="G449" s="71">
        <v>0.0</v>
      </c>
      <c r="H449" s="73">
        <f t="shared" si="20"/>
        <v>36.8</v>
      </c>
      <c r="L449" s="59"/>
      <c r="M449" s="59"/>
      <c r="N449" s="59"/>
      <c r="T449" s="80"/>
      <c r="U449" s="80"/>
    </row>
    <row r="450">
      <c r="A450" s="36" t="s">
        <v>91</v>
      </c>
      <c r="B450" s="60">
        <v>24.0</v>
      </c>
      <c r="C450" s="60">
        <v>11.0</v>
      </c>
      <c r="D450" s="60">
        <v>1.0</v>
      </c>
      <c r="E450" s="60">
        <v>0.0</v>
      </c>
      <c r="F450" s="60">
        <v>2.0</v>
      </c>
      <c r="G450" s="71">
        <v>0.0</v>
      </c>
      <c r="H450" s="73">
        <f t="shared" si="20"/>
        <v>42.7</v>
      </c>
      <c r="L450" s="59"/>
      <c r="M450" s="59"/>
      <c r="N450" s="59"/>
      <c r="T450" s="80"/>
      <c r="U450" s="80"/>
    </row>
    <row r="451">
      <c r="A451" s="76" t="s">
        <v>105</v>
      </c>
      <c r="B451" s="60">
        <v>9.0</v>
      </c>
      <c r="C451" s="60">
        <v>4.0</v>
      </c>
      <c r="D451" s="60">
        <v>0.0</v>
      </c>
      <c r="E451" s="60">
        <v>1.0</v>
      </c>
      <c r="F451" s="60">
        <v>0.0</v>
      </c>
      <c r="G451" s="71">
        <v>2.0</v>
      </c>
      <c r="H451" s="73">
        <f t="shared" si="20"/>
        <v>13.8</v>
      </c>
      <c r="L451" s="59"/>
      <c r="M451" s="59"/>
      <c r="N451" s="59"/>
      <c r="T451" s="80"/>
      <c r="U451" s="80"/>
    </row>
    <row r="452">
      <c r="A452" s="76" t="s">
        <v>87</v>
      </c>
      <c r="B452" s="60">
        <v>35.0</v>
      </c>
      <c r="C452" s="60">
        <v>9.0</v>
      </c>
      <c r="D452" s="60">
        <v>1.0</v>
      </c>
      <c r="E452" s="60">
        <v>4.0</v>
      </c>
      <c r="F452" s="60">
        <v>1.0</v>
      </c>
      <c r="G452" s="71">
        <v>2.0</v>
      </c>
      <c r="H452" s="73">
        <f t="shared" si="20"/>
        <v>55.3</v>
      </c>
      <c r="L452" s="59"/>
      <c r="M452" s="59"/>
      <c r="N452" s="59"/>
      <c r="T452" s="80"/>
      <c r="U452" s="80"/>
    </row>
    <row r="453">
      <c r="A453" s="36" t="s">
        <v>72</v>
      </c>
      <c r="B453" s="60">
        <v>28.0</v>
      </c>
      <c r="C453" s="60">
        <v>4.0</v>
      </c>
      <c r="D453" s="60">
        <v>3.0</v>
      </c>
      <c r="E453" s="60">
        <v>0.0</v>
      </c>
      <c r="F453" s="60">
        <v>1.0</v>
      </c>
      <c r="G453" s="71">
        <v>4.0</v>
      </c>
      <c r="H453" s="73">
        <f t="shared" si="20"/>
        <v>35.3</v>
      </c>
      <c r="L453" s="59"/>
      <c r="M453" s="59"/>
      <c r="N453" s="59"/>
      <c r="T453" s="80"/>
      <c r="U453" s="80"/>
    </row>
    <row r="454">
      <c r="A454" s="36" t="s">
        <v>111</v>
      </c>
      <c r="B454" s="60">
        <v>21.0</v>
      </c>
      <c r="C454" s="60">
        <v>8.0</v>
      </c>
      <c r="D454" s="60">
        <v>5.0</v>
      </c>
      <c r="E454" s="60">
        <v>1.0</v>
      </c>
      <c r="F454" s="60">
        <v>2.0</v>
      </c>
      <c r="G454" s="71">
        <v>0.0</v>
      </c>
      <c r="H454" s="73">
        <f t="shared" si="20"/>
        <v>44.1</v>
      </c>
      <c r="L454" s="59"/>
      <c r="M454" s="59"/>
      <c r="N454" s="59"/>
      <c r="T454" s="80"/>
      <c r="U454" s="80"/>
    </row>
    <row r="455">
      <c r="A455" s="76" t="s">
        <v>121</v>
      </c>
      <c r="B455" s="60">
        <v>15.0</v>
      </c>
      <c r="C455" s="60">
        <v>7.0</v>
      </c>
      <c r="D455" s="60">
        <v>2.0</v>
      </c>
      <c r="E455" s="60">
        <v>1.0</v>
      </c>
      <c r="F455" s="60">
        <v>1.0</v>
      </c>
      <c r="G455" s="71">
        <v>1.0</v>
      </c>
      <c r="H455" s="73">
        <f t="shared" si="20"/>
        <v>29.4</v>
      </c>
      <c r="L455" s="59"/>
      <c r="M455" s="59"/>
      <c r="N455" s="59"/>
      <c r="T455" s="80"/>
      <c r="U455" s="80"/>
    </row>
    <row r="456">
      <c r="A456" s="70" t="s">
        <v>120</v>
      </c>
      <c r="B456" s="68">
        <v>13.0</v>
      </c>
      <c r="C456" s="68">
        <v>13.0</v>
      </c>
      <c r="D456" s="68">
        <v>2.0</v>
      </c>
      <c r="E456" s="68">
        <v>2.0</v>
      </c>
      <c r="F456" s="68">
        <v>0.0</v>
      </c>
      <c r="G456" s="79">
        <v>0.0</v>
      </c>
      <c r="H456" s="73">
        <f t="shared" si="20"/>
        <v>35.6</v>
      </c>
      <c r="L456" s="59"/>
      <c r="M456" s="59"/>
      <c r="N456" s="59"/>
      <c r="T456" s="80"/>
      <c r="U456" s="80"/>
    </row>
    <row r="457">
      <c r="A457" s="36" t="s">
        <v>78</v>
      </c>
      <c r="B457" s="60">
        <v>22.0</v>
      </c>
      <c r="C457" s="60">
        <v>7.0</v>
      </c>
      <c r="D457" s="60">
        <v>12.0</v>
      </c>
      <c r="E457" s="60">
        <v>1.0</v>
      </c>
      <c r="F457" s="60">
        <v>3.0</v>
      </c>
      <c r="G457" s="71">
        <v>7.0</v>
      </c>
      <c r="H457" s="72">
        <f t="shared" si="20"/>
        <v>49.4</v>
      </c>
      <c r="L457" s="59"/>
      <c r="M457" s="59"/>
      <c r="N457" s="59"/>
      <c r="T457" s="80"/>
      <c r="U457" s="80"/>
    </row>
    <row r="458">
      <c r="A458" s="76" t="s">
        <v>93</v>
      </c>
      <c r="B458" s="60">
        <v>34.0</v>
      </c>
      <c r="C458" s="60">
        <v>3.0</v>
      </c>
      <c r="D458" s="60">
        <v>2.0</v>
      </c>
      <c r="E458" s="60">
        <v>0.0</v>
      </c>
      <c r="F458" s="60">
        <v>3.0</v>
      </c>
      <c r="G458" s="71">
        <v>2.0</v>
      </c>
      <c r="H458" s="72">
        <f t="shared" si="20"/>
        <v>44.6</v>
      </c>
      <c r="L458" s="59"/>
      <c r="M458" s="59"/>
      <c r="N458" s="59"/>
      <c r="T458" s="80"/>
      <c r="U458" s="80"/>
    </row>
    <row r="459">
      <c r="A459" s="70" t="s">
        <v>81</v>
      </c>
      <c r="B459" s="60">
        <v>17.0</v>
      </c>
      <c r="C459" s="60">
        <v>8.0</v>
      </c>
      <c r="D459" s="60">
        <v>0.0</v>
      </c>
      <c r="E459" s="60">
        <v>0.0</v>
      </c>
      <c r="F459" s="60">
        <v>1.0</v>
      </c>
      <c r="G459" s="71">
        <v>0.0</v>
      </c>
      <c r="H459" s="72">
        <f t="shared" si="20"/>
        <v>28.6</v>
      </c>
      <c r="L459" s="59"/>
      <c r="M459" s="59"/>
      <c r="N459" s="59"/>
      <c r="T459" s="80"/>
      <c r="U459" s="80"/>
    </row>
    <row r="460">
      <c r="A460" s="76" t="s">
        <v>134</v>
      </c>
      <c r="B460" s="60">
        <v>12.0</v>
      </c>
      <c r="C460" s="60">
        <v>5.0</v>
      </c>
      <c r="D460" s="60">
        <v>2.0</v>
      </c>
      <c r="E460" s="60">
        <v>0.0</v>
      </c>
      <c r="F460" s="60">
        <v>1.0</v>
      </c>
      <c r="G460" s="71">
        <v>1.0</v>
      </c>
      <c r="H460" s="72">
        <f t="shared" si="20"/>
        <v>22</v>
      </c>
      <c r="L460" s="59"/>
      <c r="M460" s="59"/>
      <c r="N460" s="59"/>
      <c r="T460" s="80"/>
      <c r="U460" s="80"/>
    </row>
    <row r="461">
      <c r="A461" s="36" t="s">
        <v>107</v>
      </c>
      <c r="B461" s="77">
        <v>8.0</v>
      </c>
      <c r="C461" s="77">
        <v>4.0</v>
      </c>
      <c r="D461" s="77">
        <v>1.0</v>
      </c>
      <c r="E461" s="77">
        <v>2.0</v>
      </c>
      <c r="F461" s="77">
        <v>0.0</v>
      </c>
      <c r="G461" s="78">
        <v>4.0</v>
      </c>
      <c r="H461" s="72">
        <f t="shared" si="20"/>
        <v>14.3</v>
      </c>
      <c r="L461" s="59"/>
      <c r="M461" s="59"/>
      <c r="N461" s="59"/>
      <c r="T461" s="80"/>
      <c r="U461" s="80"/>
    </row>
    <row r="462">
      <c r="A462" s="76" t="s">
        <v>84</v>
      </c>
      <c r="B462" s="60">
        <v>22.0</v>
      </c>
      <c r="C462" s="60">
        <v>1.0</v>
      </c>
      <c r="D462" s="60">
        <v>6.0</v>
      </c>
      <c r="E462" s="60">
        <v>0.0</v>
      </c>
      <c r="F462" s="60">
        <v>0.0</v>
      </c>
      <c r="G462" s="71">
        <v>2.0</v>
      </c>
      <c r="H462" s="73">
        <f t="shared" si="20"/>
        <v>30.2</v>
      </c>
      <c r="L462" s="59"/>
      <c r="M462" s="59"/>
      <c r="N462" s="59"/>
      <c r="T462" s="80"/>
      <c r="U462" s="80"/>
    </row>
    <row r="463">
      <c r="A463" s="76" t="s">
        <v>100</v>
      </c>
      <c r="B463" s="60">
        <v>9.0</v>
      </c>
      <c r="C463" s="60">
        <v>2.0</v>
      </c>
      <c r="D463" s="60">
        <v>3.0</v>
      </c>
      <c r="E463" s="60">
        <v>1.0</v>
      </c>
      <c r="F463" s="60">
        <v>1.0</v>
      </c>
      <c r="G463" s="71">
        <v>2.0</v>
      </c>
      <c r="H463" s="73">
        <f t="shared" si="20"/>
        <v>17.9</v>
      </c>
      <c r="L463" s="59"/>
      <c r="M463" s="59"/>
      <c r="N463" s="59"/>
      <c r="T463" s="80"/>
      <c r="U463" s="80"/>
    </row>
    <row r="464">
      <c r="A464" s="76" t="s">
        <v>89</v>
      </c>
      <c r="B464" s="60">
        <v>24.0</v>
      </c>
      <c r="C464" s="60">
        <v>7.0</v>
      </c>
      <c r="D464" s="60">
        <v>2.0</v>
      </c>
      <c r="E464" s="60">
        <v>0.0</v>
      </c>
      <c r="F464" s="60">
        <v>0.0</v>
      </c>
      <c r="G464" s="71">
        <v>1.0</v>
      </c>
      <c r="H464" s="73">
        <f t="shared" si="20"/>
        <v>34.4</v>
      </c>
      <c r="L464" s="59"/>
      <c r="M464" s="59"/>
      <c r="N464" s="59"/>
      <c r="T464" s="80"/>
      <c r="U464" s="80"/>
    </row>
    <row r="465">
      <c r="A465" s="76" t="s">
        <v>82</v>
      </c>
      <c r="B465" s="60">
        <v>6.0</v>
      </c>
      <c r="C465" s="60">
        <v>8.0</v>
      </c>
      <c r="D465" s="60">
        <v>2.0</v>
      </c>
      <c r="E465" s="60">
        <v>0.0</v>
      </c>
      <c r="F465" s="60">
        <v>1.0</v>
      </c>
      <c r="G465" s="71">
        <v>2.0</v>
      </c>
      <c r="H465" s="73">
        <f t="shared" si="20"/>
        <v>18.6</v>
      </c>
      <c r="L465" s="59"/>
      <c r="M465" s="59"/>
      <c r="N465" s="59"/>
      <c r="T465" s="80"/>
      <c r="U465" s="80"/>
    </row>
    <row r="466">
      <c r="A466" s="70" t="s">
        <v>131</v>
      </c>
      <c r="B466" s="77">
        <v>26.0</v>
      </c>
      <c r="C466" s="77">
        <v>3.0</v>
      </c>
      <c r="D466" s="77">
        <v>0.0</v>
      </c>
      <c r="E466" s="77">
        <v>2.0</v>
      </c>
      <c r="F466" s="77">
        <v>0.0</v>
      </c>
      <c r="G466" s="78">
        <v>2.0</v>
      </c>
      <c r="H466" s="73">
        <f t="shared" si="20"/>
        <v>31.6</v>
      </c>
      <c r="L466" s="59"/>
      <c r="M466" s="59"/>
      <c r="N466" s="59"/>
      <c r="T466" s="80"/>
      <c r="U466" s="80"/>
    </row>
    <row r="467">
      <c r="A467" s="36" t="s">
        <v>94</v>
      </c>
      <c r="B467" s="60">
        <v>28.0</v>
      </c>
      <c r="C467" s="60">
        <v>6.0</v>
      </c>
      <c r="D467" s="60">
        <v>4.0</v>
      </c>
      <c r="E467" s="60">
        <v>2.0</v>
      </c>
      <c r="F467" s="60">
        <v>0.0</v>
      </c>
      <c r="G467" s="71">
        <v>2.0</v>
      </c>
      <c r="H467" s="73">
        <f t="shared" si="20"/>
        <v>43.2</v>
      </c>
      <c r="L467" s="59"/>
      <c r="M467" s="59"/>
      <c r="N467" s="59"/>
      <c r="T467" s="80"/>
      <c r="U467" s="80"/>
    </row>
    <row r="468">
      <c r="A468" s="36" t="s">
        <v>127</v>
      </c>
      <c r="B468" s="60">
        <v>13.0</v>
      </c>
      <c r="C468" s="60">
        <v>2.0</v>
      </c>
      <c r="D468" s="60">
        <v>6.0</v>
      </c>
      <c r="E468" s="60">
        <v>4.0</v>
      </c>
      <c r="F468" s="60">
        <v>0.0</v>
      </c>
      <c r="G468" s="71">
        <v>1.0</v>
      </c>
      <c r="H468" s="73">
        <f t="shared" si="20"/>
        <v>31.4</v>
      </c>
      <c r="L468" s="59"/>
      <c r="M468" s="59"/>
      <c r="N468" s="59"/>
      <c r="T468" s="80"/>
      <c r="U468" s="80"/>
    </row>
    <row r="469">
      <c r="A469" s="76" t="s">
        <v>88</v>
      </c>
      <c r="B469" s="60">
        <v>29.0</v>
      </c>
      <c r="C469" s="60">
        <v>8.0</v>
      </c>
      <c r="D469" s="60">
        <v>5.0</v>
      </c>
      <c r="E469" s="60">
        <v>0.0</v>
      </c>
      <c r="F469" s="60">
        <v>0.0</v>
      </c>
      <c r="G469" s="71">
        <v>5.0</v>
      </c>
      <c r="H469" s="73">
        <f t="shared" si="20"/>
        <v>41.1</v>
      </c>
      <c r="L469" s="59"/>
      <c r="M469" s="59"/>
      <c r="N469" s="59"/>
      <c r="T469" s="80"/>
      <c r="U469" s="80"/>
    </row>
    <row r="470">
      <c r="A470" s="36" t="s">
        <v>70</v>
      </c>
      <c r="B470" s="60">
        <v>19.0</v>
      </c>
      <c r="C470" s="60">
        <v>8.0</v>
      </c>
      <c r="D470" s="60">
        <v>0.0</v>
      </c>
      <c r="E470" s="60">
        <v>1.0</v>
      </c>
      <c r="F470" s="60">
        <v>1.0</v>
      </c>
      <c r="G470" s="71">
        <v>2.0</v>
      </c>
      <c r="H470" s="73">
        <f t="shared" si="20"/>
        <v>30.6</v>
      </c>
      <c r="L470" s="59"/>
      <c r="M470" s="59"/>
      <c r="N470" s="59"/>
      <c r="T470" s="80"/>
      <c r="U470" s="80"/>
    </row>
    <row r="471">
      <c r="A471" s="76" t="s">
        <v>110</v>
      </c>
      <c r="B471" s="60">
        <v>14.0</v>
      </c>
      <c r="C471" s="60">
        <v>4.0</v>
      </c>
      <c r="D471" s="60">
        <v>2.0</v>
      </c>
      <c r="E471" s="60">
        <v>4.0</v>
      </c>
      <c r="F471" s="60">
        <v>0.0</v>
      </c>
      <c r="G471" s="71">
        <v>3.0</v>
      </c>
      <c r="H471" s="73">
        <f t="shared" si="20"/>
        <v>26.8</v>
      </c>
      <c r="L471" s="59"/>
      <c r="M471" s="59"/>
      <c r="N471" s="59"/>
      <c r="T471" s="80"/>
      <c r="U471" s="80"/>
    </row>
    <row r="472">
      <c r="A472" s="76" t="s">
        <v>129</v>
      </c>
      <c r="B472" s="60">
        <v>14.0</v>
      </c>
      <c r="C472" s="60">
        <v>7.0</v>
      </c>
      <c r="D472" s="60">
        <v>3.0</v>
      </c>
      <c r="E472" s="60">
        <v>0.0</v>
      </c>
      <c r="F472" s="60">
        <v>0.0</v>
      </c>
      <c r="G472" s="71">
        <v>1.0</v>
      </c>
      <c r="H472" s="73">
        <f t="shared" si="20"/>
        <v>25.9</v>
      </c>
      <c r="L472" s="59"/>
      <c r="M472" s="59"/>
      <c r="N472" s="59"/>
      <c r="T472" s="80"/>
      <c r="U472" s="80"/>
    </row>
    <row r="473">
      <c r="A473" s="36" t="s">
        <v>119</v>
      </c>
      <c r="B473" s="60">
        <v>17.0</v>
      </c>
      <c r="C473" s="60">
        <v>5.0</v>
      </c>
      <c r="D473" s="60">
        <v>3.0</v>
      </c>
      <c r="E473" s="60">
        <v>1.0</v>
      </c>
      <c r="F473" s="60">
        <v>0.0</v>
      </c>
      <c r="G473" s="71">
        <v>0.0</v>
      </c>
      <c r="H473" s="73">
        <f t="shared" si="20"/>
        <v>29.5</v>
      </c>
      <c r="L473" s="59"/>
      <c r="M473" s="59"/>
      <c r="N473" s="59"/>
      <c r="T473" s="80"/>
      <c r="U473" s="80"/>
    </row>
    <row r="474">
      <c r="A474" s="36" t="s">
        <v>98</v>
      </c>
      <c r="B474" s="60">
        <v>26.0</v>
      </c>
      <c r="C474" s="60">
        <v>8.0</v>
      </c>
      <c r="D474" s="60">
        <v>12.0</v>
      </c>
      <c r="E474" s="60">
        <v>1.0</v>
      </c>
      <c r="F474" s="60">
        <v>0.0</v>
      </c>
      <c r="G474" s="71">
        <v>2.0</v>
      </c>
      <c r="H474" s="73">
        <f t="shared" si="20"/>
        <v>53.6</v>
      </c>
      <c r="L474" s="59"/>
      <c r="M474" s="59"/>
      <c r="N474" s="59"/>
      <c r="T474" s="80"/>
      <c r="U474" s="80"/>
    </row>
    <row r="475">
      <c r="A475" s="76" t="s">
        <v>76</v>
      </c>
      <c r="B475" s="60">
        <v>17.0</v>
      </c>
      <c r="C475" s="60">
        <v>6.0</v>
      </c>
      <c r="D475" s="60">
        <v>6.0</v>
      </c>
      <c r="E475" s="60">
        <v>3.0</v>
      </c>
      <c r="F475" s="60">
        <v>0.0</v>
      </c>
      <c r="G475" s="71">
        <v>1.0</v>
      </c>
      <c r="H475" s="73">
        <f t="shared" si="20"/>
        <v>38.2</v>
      </c>
      <c r="L475" s="59"/>
      <c r="M475" s="59"/>
      <c r="N475" s="59"/>
      <c r="T475" s="80"/>
      <c r="U475" s="80"/>
    </row>
    <row r="476">
      <c r="A476" s="70" t="s">
        <v>126</v>
      </c>
      <c r="B476" s="68">
        <v>10.0</v>
      </c>
      <c r="C476" s="68">
        <v>6.0</v>
      </c>
      <c r="D476" s="68">
        <v>6.0</v>
      </c>
      <c r="E476" s="68">
        <v>1.0</v>
      </c>
      <c r="F476" s="68">
        <v>0.0</v>
      </c>
      <c r="G476" s="79">
        <v>3.0</v>
      </c>
      <c r="H476" s="73">
        <f t="shared" si="20"/>
        <v>25.2</v>
      </c>
      <c r="L476" s="59"/>
      <c r="M476" s="59"/>
      <c r="N476" s="59"/>
      <c r="T476" s="80"/>
      <c r="U476" s="80"/>
    </row>
    <row r="477">
      <c r="A477" s="36" t="s">
        <v>93</v>
      </c>
      <c r="B477" s="60">
        <v>8.0</v>
      </c>
      <c r="C477" s="60">
        <v>1.0</v>
      </c>
      <c r="D477" s="60">
        <v>2.0</v>
      </c>
      <c r="E477" s="60">
        <v>1.0</v>
      </c>
      <c r="F477" s="60">
        <v>0.0</v>
      </c>
      <c r="G477" s="71">
        <v>1.0</v>
      </c>
      <c r="H477" s="72">
        <f t="shared" si="20"/>
        <v>13.2</v>
      </c>
      <c r="L477" s="59"/>
      <c r="M477" s="59"/>
      <c r="N477" s="59"/>
      <c r="T477" s="80"/>
      <c r="U477" s="80"/>
    </row>
    <row r="478">
      <c r="A478" s="76" t="s">
        <v>97</v>
      </c>
      <c r="B478" s="60">
        <v>8.0</v>
      </c>
      <c r="C478" s="60">
        <v>3.0</v>
      </c>
      <c r="D478" s="60">
        <v>0.0</v>
      </c>
      <c r="E478" s="60">
        <v>0.0</v>
      </c>
      <c r="F478" s="60">
        <v>1.0</v>
      </c>
      <c r="G478" s="71">
        <v>4.0</v>
      </c>
      <c r="H478" s="72">
        <f t="shared" si="20"/>
        <v>9.6</v>
      </c>
      <c r="L478" s="59"/>
      <c r="M478" s="59"/>
      <c r="N478" s="59"/>
      <c r="T478" s="80"/>
      <c r="U478" s="80"/>
    </row>
    <row r="479">
      <c r="A479" s="70" t="s">
        <v>66</v>
      </c>
      <c r="B479" s="60">
        <v>29.0</v>
      </c>
      <c r="C479" s="60">
        <v>14.0</v>
      </c>
      <c r="D479" s="60">
        <v>8.0</v>
      </c>
      <c r="E479" s="60">
        <v>2.0</v>
      </c>
      <c r="F479" s="60">
        <v>1.0</v>
      </c>
      <c r="G479" s="71">
        <v>1.0</v>
      </c>
      <c r="H479" s="72">
        <f t="shared" si="20"/>
        <v>62.8</v>
      </c>
      <c r="L479" s="59"/>
      <c r="M479" s="59"/>
      <c r="N479" s="59"/>
      <c r="T479" s="80"/>
      <c r="U479" s="80"/>
    </row>
    <row r="480">
      <c r="A480" s="76" t="s">
        <v>101</v>
      </c>
      <c r="B480" s="60">
        <v>19.0</v>
      </c>
      <c r="C480" s="60">
        <v>11.0</v>
      </c>
      <c r="D480" s="60">
        <v>1.0</v>
      </c>
      <c r="E480" s="60">
        <v>1.0</v>
      </c>
      <c r="F480" s="60">
        <v>1.0</v>
      </c>
      <c r="G480" s="71">
        <v>0.0</v>
      </c>
      <c r="H480" s="72">
        <f t="shared" si="20"/>
        <v>37.7</v>
      </c>
      <c r="L480" s="59"/>
      <c r="M480" s="59"/>
      <c r="N480" s="59"/>
      <c r="T480" s="80"/>
      <c r="U480" s="80"/>
    </row>
    <row r="481">
      <c r="A481" s="36" t="s">
        <v>134</v>
      </c>
      <c r="B481" s="77">
        <v>10.0</v>
      </c>
      <c r="C481" s="77">
        <v>2.0</v>
      </c>
      <c r="D481" s="77">
        <v>0.0</v>
      </c>
      <c r="E481" s="77">
        <v>0.0</v>
      </c>
      <c r="F481" s="77">
        <v>0.0</v>
      </c>
      <c r="G481" s="78">
        <v>1.0</v>
      </c>
      <c r="H481" s="72">
        <f t="shared" si="20"/>
        <v>11.4</v>
      </c>
      <c r="L481" s="59"/>
      <c r="M481" s="59"/>
      <c r="N481" s="59"/>
      <c r="T481" s="80"/>
      <c r="U481" s="80"/>
    </row>
    <row r="482">
      <c r="A482" s="76" t="s">
        <v>73</v>
      </c>
      <c r="B482" s="60">
        <v>32.0</v>
      </c>
      <c r="C482" s="60">
        <v>3.0</v>
      </c>
      <c r="D482" s="60">
        <v>6.0</v>
      </c>
      <c r="E482" s="60">
        <v>0.0</v>
      </c>
      <c r="F482" s="60">
        <v>0.0</v>
      </c>
      <c r="G482" s="71">
        <v>2.0</v>
      </c>
      <c r="H482" s="73">
        <f t="shared" si="20"/>
        <v>42.6</v>
      </c>
      <c r="L482" s="59"/>
      <c r="M482" s="59"/>
      <c r="N482" s="59"/>
      <c r="T482" s="80"/>
      <c r="U482" s="80"/>
    </row>
    <row r="483">
      <c r="A483" s="76" t="s">
        <v>129</v>
      </c>
      <c r="B483" s="60">
        <v>4.0</v>
      </c>
      <c r="C483" s="60">
        <v>4.0</v>
      </c>
      <c r="D483" s="60">
        <v>3.0</v>
      </c>
      <c r="E483" s="60">
        <v>1.0</v>
      </c>
      <c r="F483" s="60">
        <v>0.0</v>
      </c>
      <c r="G483" s="71">
        <v>2.0</v>
      </c>
      <c r="H483" s="73">
        <f t="shared" si="20"/>
        <v>13.3</v>
      </c>
      <c r="L483" s="59"/>
      <c r="M483" s="59"/>
      <c r="N483" s="59"/>
      <c r="T483" s="80"/>
      <c r="U483" s="80"/>
    </row>
    <row r="484">
      <c r="A484" s="76" t="s">
        <v>70</v>
      </c>
      <c r="B484" s="60">
        <v>21.0</v>
      </c>
      <c r="C484" s="60">
        <v>12.0</v>
      </c>
      <c r="D484" s="60">
        <v>1.0</v>
      </c>
      <c r="E484" s="60">
        <v>1.0</v>
      </c>
      <c r="F484" s="60">
        <v>0.0</v>
      </c>
      <c r="G484" s="71">
        <v>3.0</v>
      </c>
      <c r="H484" s="73">
        <f t="shared" si="20"/>
        <v>35.9</v>
      </c>
      <c r="L484" s="59"/>
      <c r="M484" s="59"/>
      <c r="N484" s="59"/>
      <c r="T484" s="80"/>
      <c r="U484" s="80"/>
    </row>
    <row r="485">
      <c r="A485" s="76" t="s">
        <v>89</v>
      </c>
      <c r="B485" s="60">
        <v>10.0</v>
      </c>
      <c r="C485" s="60">
        <v>11.0</v>
      </c>
      <c r="D485" s="60">
        <v>11.0</v>
      </c>
      <c r="E485" s="60">
        <v>0.0</v>
      </c>
      <c r="F485" s="60">
        <v>0.0</v>
      </c>
      <c r="G485" s="71">
        <v>2.0</v>
      </c>
      <c r="H485" s="73">
        <f t="shared" si="20"/>
        <v>37.7</v>
      </c>
      <c r="L485" s="59"/>
      <c r="M485" s="59"/>
      <c r="N485" s="59"/>
      <c r="T485" s="80"/>
      <c r="U485" s="80"/>
    </row>
    <row r="486">
      <c r="A486" s="70" t="s">
        <v>138</v>
      </c>
      <c r="B486" s="77">
        <v>5.0</v>
      </c>
      <c r="C486" s="77">
        <v>5.0</v>
      </c>
      <c r="D486" s="77">
        <v>1.0</v>
      </c>
      <c r="E486" s="77">
        <v>0.0</v>
      </c>
      <c r="F486" s="77">
        <v>1.0</v>
      </c>
      <c r="G486" s="78">
        <v>2.0</v>
      </c>
      <c r="H486" s="73">
        <f t="shared" si="20"/>
        <v>12.5</v>
      </c>
      <c r="L486" s="59"/>
      <c r="M486" s="59"/>
      <c r="N486" s="59"/>
      <c r="T486" s="80"/>
      <c r="U486" s="80"/>
    </row>
    <row r="487">
      <c r="A487" s="36" t="s">
        <v>84</v>
      </c>
      <c r="B487" s="60">
        <v>23.0</v>
      </c>
      <c r="C487" s="60">
        <v>6.0</v>
      </c>
      <c r="D487" s="60">
        <v>6.0</v>
      </c>
      <c r="E487" s="60">
        <v>0.0</v>
      </c>
      <c r="F487" s="60">
        <v>0.0</v>
      </c>
      <c r="G487" s="71">
        <v>2.0</v>
      </c>
      <c r="H487" s="73">
        <f t="shared" si="20"/>
        <v>37.2</v>
      </c>
      <c r="L487" s="59"/>
      <c r="M487" s="59"/>
      <c r="N487" s="59"/>
      <c r="T487" s="80"/>
      <c r="U487" s="80"/>
    </row>
    <row r="488">
      <c r="A488" s="36" t="s">
        <v>100</v>
      </c>
      <c r="B488" s="60">
        <v>22.0</v>
      </c>
      <c r="C488" s="60">
        <v>4.0</v>
      </c>
      <c r="D488" s="60">
        <v>3.0</v>
      </c>
      <c r="E488" s="60">
        <v>1.0</v>
      </c>
      <c r="F488" s="60">
        <v>2.0</v>
      </c>
      <c r="G488" s="71">
        <v>2.0</v>
      </c>
      <c r="H488" s="73">
        <f t="shared" si="20"/>
        <v>35.3</v>
      </c>
      <c r="L488" s="59"/>
      <c r="M488" s="59"/>
      <c r="N488" s="59"/>
      <c r="T488" s="80"/>
      <c r="U488" s="80"/>
    </row>
    <row r="489">
      <c r="A489" s="76" t="s">
        <v>80</v>
      </c>
      <c r="B489" s="60">
        <v>6.0</v>
      </c>
      <c r="C489" s="60">
        <v>7.0</v>
      </c>
      <c r="D489" s="60">
        <v>10.0</v>
      </c>
      <c r="E489" s="60">
        <v>3.0</v>
      </c>
      <c r="F489" s="60">
        <v>1.0</v>
      </c>
      <c r="G489" s="71">
        <v>3.0</v>
      </c>
      <c r="H489" s="73">
        <f t="shared" si="20"/>
        <v>34.4</v>
      </c>
      <c r="L489" s="59"/>
      <c r="M489" s="59"/>
      <c r="N489" s="59"/>
      <c r="T489" s="80"/>
      <c r="U489" s="80"/>
    </row>
    <row r="490">
      <c r="A490" s="36" t="s">
        <v>82</v>
      </c>
      <c r="B490" s="60">
        <v>23.0</v>
      </c>
      <c r="C490" s="60">
        <v>9.0</v>
      </c>
      <c r="D490" s="60">
        <v>2.0</v>
      </c>
      <c r="E490" s="60">
        <v>2.0</v>
      </c>
      <c r="F490" s="60">
        <v>2.0</v>
      </c>
      <c r="G490" s="71">
        <v>3.0</v>
      </c>
      <c r="H490" s="73">
        <f t="shared" si="20"/>
        <v>41.8</v>
      </c>
      <c r="L490" s="59"/>
      <c r="M490" s="59"/>
      <c r="N490" s="59"/>
      <c r="T490" s="80"/>
      <c r="U490" s="80"/>
    </row>
    <row r="491">
      <c r="A491" s="76" t="s">
        <v>85</v>
      </c>
      <c r="B491" s="60">
        <v>10.0</v>
      </c>
      <c r="C491" s="60">
        <v>4.0</v>
      </c>
      <c r="D491" s="60">
        <v>0.0</v>
      </c>
      <c r="E491" s="60">
        <v>1.0</v>
      </c>
      <c r="F491" s="60">
        <v>1.0</v>
      </c>
      <c r="G491" s="71">
        <v>1.0</v>
      </c>
      <c r="H491" s="73">
        <f t="shared" si="20"/>
        <v>17.8</v>
      </c>
      <c r="L491" s="59"/>
      <c r="M491" s="59"/>
      <c r="N491" s="59"/>
      <c r="T491" s="80"/>
      <c r="U491" s="80"/>
    </row>
    <row r="492">
      <c r="A492" s="76" t="s">
        <v>72</v>
      </c>
      <c r="B492" s="60">
        <v>25.0</v>
      </c>
      <c r="C492" s="60">
        <v>8.0</v>
      </c>
      <c r="D492" s="60">
        <v>7.0</v>
      </c>
      <c r="E492" s="60">
        <v>0.0</v>
      </c>
      <c r="F492" s="60">
        <v>1.0</v>
      </c>
      <c r="G492" s="71">
        <v>5.0</v>
      </c>
      <c r="H492" s="73">
        <f t="shared" si="20"/>
        <v>42.1</v>
      </c>
      <c r="L492" s="59"/>
      <c r="M492" s="59"/>
      <c r="N492" s="59"/>
      <c r="T492" s="80"/>
      <c r="U492" s="80"/>
    </row>
    <row r="493">
      <c r="A493" s="36" t="s">
        <v>119</v>
      </c>
      <c r="B493" s="60">
        <v>11.0</v>
      </c>
      <c r="C493" s="60">
        <v>2.0</v>
      </c>
      <c r="D493" s="60">
        <v>4.0</v>
      </c>
      <c r="E493" s="60">
        <v>0.0</v>
      </c>
      <c r="F493" s="60">
        <v>0.0</v>
      </c>
      <c r="G493" s="71">
        <v>0.0</v>
      </c>
      <c r="H493" s="73">
        <f t="shared" si="20"/>
        <v>19.4</v>
      </c>
      <c r="L493" s="59"/>
      <c r="M493" s="59"/>
      <c r="N493" s="59"/>
      <c r="T493" s="80"/>
      <c r="U493" s="80"/>
    </row>
    <row r="494">
      <c r="A494" s="36" t="s">
        <v>98</v>
      </c>
      <c r="B494" s="60">
        <v>20.0</v>
      </c>
      <c r="C494" s="60">
        <v>6.0</v>
      </c>
      <c r="D494" s="60">
        <v>6.0</v>
      </c>
      <c r="E494" s="60">
        <v>1.0</v>
      </c>
      <c r="F494" s="60">
        <v>1.0</v>
      </c>
      <c r="G494" s="71">
        <v>7.0</v>
      </c>
      <c r="H494" s="73">
        <f t="shared" si="20"/>
        <v>33.2</v>
      </c>
      <c r="L494" s="59"/>
      <c r="M494" s="59"/>
      <c r="N494" s="59"/>
      <c r="T494" s="80"/>
      <c r="U494" s="80"/>
    </row>
    <row r="495">
      <c r="A495" s="76" t="s">
        <v>58</v>
      </c>
      <c r="B495" s="60">
        <v>5.0</v>
      </c>
      <c r="C495" s="60">
        <v>7.0</v>
      </c>
      <c r="D495" s="60">
        <v>7.0</v>
      </c>
      <c r="E495" s="60">
        <v>1.0</v>
      </c>
      <c r="F495" s="60">
        <v>0.0</v>
      </c>
      <c r="G495" s="71">
        <v>1.0</v>
      </c>
      <c r="H495" s="73">
        <f t="shared" si="20"/>
        <v>24.9</v>
      </c>
      <c r="L495" s="59"/>
      <c r="M495" s="59"/>
      <c r="N495" s="59"/>
      <c r="T495" s="80"/>
      <c r="U495" s="80"/>
    </row>
    <row r="496">
      <c r="A496" s="70" t="s">
        <v>121</v>
      </c>
      <c r="B496" s="68">
        <v>8.0</v>
      </c>
      <c r="C496" s="68">
        <v>6.0</v>
      </c>
      <c r="D496" s="68">
        <v>0.0</v>
      </c>
      <c r="E496" s="68">
        <v>0.0</v>
      </c>
      <c r="F496" s="68">
        <v>0.0</v>
      </c>
      <c r="G496" s="79">
        <v>1.0</v>
      </c>
      <c r="H496" s="73">
        <f t="shared" si="20"/>
        <v>14.2</v>
      </c>
      <c r="L496" s="59"/>
      <c r="M496" s="59"/>
      <c r="N496" s="59"/>
      <c r="T496" s="80"/>
      <c r="U496" s="80"/>
    </row>
    <row r="497">
      <c r="L497" s="59"/>
      <c r="M497" s="59"/>
      <c r="N497" s="59"/>
      <c r="T497" s="80"/>
      <c r="U497" s="80"/>
    </row>
    <row r="498">
      <c r="L498" s="59"/>
      <c r="M498" s="59"/>
      <c r="N498" s="59"/>
      <c r="T498" s="80"/>
      <c r="U498" s="80"/>
    </row>
    <row r="499">
      <c r="L499" s="59"/>
      <c r="M499" s="59"/>
      <c r="N499" s="59"/>
      <c r="T499" s="80"/>
      <c r="U499" s="80"/>
    </row>
    <row r="500">
      <c r="L500" s="59"/>
      <c r="M500" s="59"/>
      <c r="N500" s="59"/>
      <c r="T500" s="80"/>
      <c r="U500" s="80"/>
    </row>
    <row r="501">
      <c r="L501" s="59"/>
      <c r="M501" s="59"/>
      <c r="N501" s="59"/>
      <c r="T501" s="80"/>
      <c r="U501" s="80"/>
    </row>
    <row r="502">
      <c r="L502" s="59"/>
      <c r="M502" s="59"/>
      <c r="N502" s="59"/>
      <c r="T502" s="80"/>
      <c r="U502" s="80"/>
    </row>
    <row r="503">
      <c r="L503" s="59"/>
      <c r="M503" s="59"/>
      <c r="N503" s="59"/>
      <c r="T503" s="80"/>
      <c r="U503" s="80"/>
    </row>
    <row r="504">
      <c r="L504" s="59"/>
      <c r="M504" s="59"/>
      <c r="N504" s="59"/>
      <c r="T504" s="80"/>
      <c r="U504" s="80"/>
    </row>
    <row r="505">
      <c r="L505" s="59"/>
      <c r="M505" s="59"/>
      <c r="N505" s="59"/>
      <c r="T505" s="80"/>
      <c r="U505" s="80"/>
    </row>
    <row r="506">
      <c r="L506" s="59"/>
      <c r="M506" s="59"/>
      <c r="N506" s="59"/>
      <c r="T506" s="80"/>
      <c r="U506" s="80"/>
    </row>
    <row r="507">
      <c r="L507" s="59"/>
      <c r="M507" s="59"/>
      <c r="N507" s="59"/>
      <c r="T507" s="80"/>
      <c r="U507" s="80"/>
    </row>
    <row r="508">
      <c r="L508" s="59"/>
      <c r="M508" s="59"/>
      <c r="N508" s="59"/>
      <c r="T508" s="80"/>
      <c r="U508" s="80"/>
    </row>
    <row r="509">
      <c r="L509" s="59"/>
      <c r="M509" s="59"/>
      <c r="N509" s="59"/>
      <c r="T509" s="80"/>
      <c r="U509" s="80"/>
    </row>
    <row r="510">
      <c r="L510" s="59"/>
      <c r="M510" s="59"/>
      <c r="N510" s="59"/>
      <c r="T510" s="80"/>
      <c r="U510" s="80"/>
    </row>
    <row r="511">
      <c r="L511" s="59"/>
      <c r="M511" s="59"/>
      <c r="N511" s="59"/>
      <c r="T511" s="80"/>
      <c r="U511" s="80"/>
    </row>
    <row r="512">
      <c r="L512" s="59"/>
      <c r="M512" s="59"/>
      <c r="N512" s="59"/>
      <c r="T512" s="80"/>
      <c r="U512" s="80"/>
    </row>
    <row r="513">
      <c r="L513" s="59"/>
      <c r="M513" s="59"/>
      <c r="N513" s="59"/>
      <c r="T513" s="80"/>
      <c r="U513" s="80"/>
    </row>
    <row r="514">
      <c r="L514" s="59"/>
      <c r="M514" s="59"/>
      <c r="N514" s="59"/>
      <c r="T514" s="80"/>
      <c r="U514" s="80"/>
    </row>
    <row r="515">
      <c r="L515" s="59"/>
      <c r="M515" s="59"/>
      <c r="N515" s="59"/>
      <c r="T515" s="80"/>
      <c r="U515" s="80"/>
    </row>
    <row r="516">
      <c r="L516" s="59"/>
      <c r="M516" s="59"/>
      <c r="N516" s="59"/>
      <c r="T516" s="80"/>
      <c r="U516" s="80"/>
    </row>
    <row r="517">
      <c r="L517" s="59"/>
      <c r="M517" s="59"/>
      <c r="N517" s="59"/>
      <c r="T517" s="80"/>
      <c r="U517" s="80"/>
    </row>
    <row r="518">
      <c r="L518" s="59"/>
      <c r="M518" s="59"/>
      <c r="N518" s="59"/>
      <c r="T518" s="80"/>
      <c r="U518" s="80"/>
    </row>
    <row r="519">
      <c r="L519" s="59"/>
      <c r="M519" s="59"/>
      <c r="N519" s="59"/>
      <c r="T519" s="80"/>
      <c r="U519" s="80"/>
    </row>
    <row r="520">
      <c r="L520" s="59"/>
      <c r="M520" s="59"/>
      <c r="N520" s="59"/>
      <c r="T520" s="80"/>
      <c r="U520" s="80"/>
    </row>
    <row r="521">
      <c r="L521" s="59"/>
      <c r="M521" s="59"/>
      <c r="N521" s="59"/>
      <c r="T521" s="80"/>
      <c r="U521" s="80"/>
    </row>
    <row r="522">
      <c r="L522" s="59"/>
      <c r="M522" s="59"/>
      <c r="N522" s="59"/>
      <c r="T522" s="80"/>
      <c r="U522" s="80"/>
    </row>
    <row r="523">
      <c r="L523" s="59"/>
      <c r="M523" s="59"/>
      <c r="N523" s="59"/>
      <c r="T523" s="80"/>
      <c r="U523" s="80"/>
    </row>
    <row r="524">
      <c r="L524" s="59"/>
      <c r="M524" s="59"/>
      <c r="N524" s="59"/>
      <c r="T524" s="80"/>
      <c r="U524" s="80"/>
    </row>
    <row r="525">
      <c r="L525" s="59"/>
      <c r="M525" s="59"/>
      <c r="N525" s="59"/>
      <c r="T525" s="80"/>
      <c r="U525" s="80"/>
    </row>
    <row r="526">
      <c r="L526" s="59"/>
      <c r="M526" s="59"/>
      <c r="N526" s="59"/>
      <c r="T526" s="80"/>
      <c r="U526" s="80"/>
    </row>
    <row r="527">
      <c r="L527" s="59"/>
      <c r="M527" s="59"/>
      <c r="N527" s="59"/>
      <c r="T527" s="80"/>
      <c r="U527" s="80"/>
    </row>
    <row r="528">
      <c r="L528" s="59"/>
      <c r="M528" s="59"/>
      <c r="N528" s="59"/>
      <c r="T528" s="80"/>
      <c r="U528" s="80"/>
    </row>
    <row r="529">
      <c r="L529" s="59"/>
      <c r="M529" s="59"/>
      <c r="N529" s="59"/>
      <c r="T529" s="80"/>
      <c r="U529" s="80"/>
    </row>
    <row r="530">
      <c r="L530" s="59"/>
      <c r="M530" s="59"/>
      <c r="N530" s="59"/>
      <c r="T530" s="80"/>
      <c r="U530" s="80"/>
    </row>
    <row r="531">
      <c r="L531" s="59"/>
      <c r="M531" s="59"/>
      <c r="N531" s="59"/>
      <c r="T531" s="80"/>
      <c r="U531" s="80"/>
    </row>
    <row r="532">
      <c r="L532" s="59"/>
      <c r="M532" s="59"/>
      <c r="N532" s="59"/>
      <c r="T532" s="80"/>
      <c r="U532" s="80"/>
    </row>
    <row r="533">
      <c r="L533" s="59"/>
      <c r="M533" s="59"/>
      <c r="N533" s="59"/>
      <c r="T533" s="80"/>
      <c r="U533" s="80"/>
    </row>
    <row r="534">
      <c r="L534" s="59"/>
      <c r="M534" s="59"/>
      <c r="N534" s="59"/>
      <c r="T534" s="80"/>
      <c r="U534" s="80"/>
    </row>
    <row r="535">
      <c r="L535" s="59"/>
      <c r="M535" s="59"/>
      <c r="N535" s="59"/>
      <c r="T535" s="80"/>
      <c r="U535" s="80"/>
    </row>
    <row r="536">
      <c r="L536" s="59"/>
      <c r="M536" s="59"/>
      <c r="N536" s="59"/>
      <c r="T536" s="80"/>
      <c r="U536" s="80"/>
    </row>
    <row r="537">
      <c r="L537" s="59"/>
      <c r="M537" s="59"/>
      <c r="N537" s="59"/>
      <c r="T537" s="80"/>
      <c r="U537" s="80"/>
    </row>
    <row r="538">
      <c r="L538" s="59"/>
      <c r="M538" s="59"/>
      <c r="N538" s="59"/>
      <c r="T538" s="80"/>
      <c r="U538" s="80"/>
    </row>
    <row r="539">
      <c r="L539" s="59"/>
      <c r="M539" s="59"/>
      <c r="N539" s="59"/>
      <c r="T539" s="80"/>
      <c r="U539" s="80"/>
    </row>
    <row r="540">
      <c r="L540" s="59"/>
      <c r="M540" s="59"/>
      <c r="N540" s="59"/>
      <c r="T540" s="80"/>
      <c r="U540" s="80"/>
    </row>
    <row r="541">
      <c r="L541" s="59"/>
      <c r="M541" s="59"/>
      <c r="N541" s="59"/>
      <c r="T541" s="80"/>
      <c r="U541" s="80"/>
    </row>
    <row r="542">
      <c r="L542" s="59"/>
      <c r="M542" s="59"/>
      <c r="N542" s="59"/>
      <c r="T542" s="80"/>
      <c r="U542" s="80"/>
    </row>
    <row r="543">
      <c r="L543" s="59"/>
      <c r="M543" s="59"/>
      <c r="N543" s="59"/>
      <c r="T543" s="80"/>
      <c r="U543" s="80"/>
    </row>
    <row r="544">
      <c r="L544" s="59"/>
      <c r="M544" s="59"/>
      <c r="N544" s="59"/>
      <c r="T544" s="80"/>
      <c r="U544" s="80"/>
    </row>
    <row r="545">
      <c r="L545" s="59"/>
      <c r="M545" s="59"/>
      <c r="N545" s="59"/>
      <c r="T545" s="80"/>
      <c r="U545" s="80"/>
    </row>
    <row r="546">
      <c r="L546" s="59"/>
      <c r="M546" s="59"/>
      <c r="N546" s="59"/>
      <c r="T546" s="80"/>
      <c r="U546" s="80"/>
    </row>
    <row r="547">
      <c r="L547" s="59"/>
      <c r="M547" s="59"/>
      <c r="N547" s="59"/>
      <c r="T547" s="80"/>
      <c r="U547" s="80"/>
    </row>
    <row r="548">
      <c r="L548" s="59"/>
      <c r="M548" s="59"/>
      <c r="N548" s="59"/>
      <c r="T548" s="80"/>
      <c r="U548" s="80"/>
    </row>
    <row r="549">
      <c r="L549" s="59"/>
      <c r="M549" s="59"/>
      <c r="N549" s="59"/>
      <c r="T549" s="80"/>
      <c r="U549" s="80"/>
    </row>
    <row r="550">
      <c r="L550" s="59"/>
      <c r="M550" s="59"/>
      <c r="N550" s="59"/>
      <c r="T550" s="80"/>
      <c r="U550" s="80"/>
    </row>
    <row r="551">
      <c r="L551" s="59"/>
      <c r="M551" s="59"/>
      <c r="N551" s="59"/>
      <c r="T551" s="80"/>
      <c r="U551" s="80"/>
    </row>
    <row r="552">
      <c r="L552" s="59"/>
      <c r="M552" s="59"/>
      <c r="N552" s="59"/>
      <c r="T552" s="80"/>
      <c r="U552" s="80"/>
    </row>
    <row r="553">
      <c r="L553" s="59"/>
      <c r="M553" s="59"/>
      <c r="N553" s="59"/>
      <c r="T553" s="80"/>
      <c r="U553" s="80"/>
    </row>
    <row r="554">
      <c r="L554" s="59"/>
      <c r="M554" s="59"/>
      <c r="N554" s="59"/>
      <c r="T554" s="80"/>
      <c r="U554" s="80"/>
    </row>
    <row r="555">
      <c r="L555" s="59"/>
      <c r="M555" s="59"/>
      <c r="N555" s="59"/>
      <c r="T555" s="80"/>
      <c r="U555" s="80"/>
    </row>
    <row r="556">
      <c r="L556" s="59"/>
      <c r="M556" s="59"/>
      <c r="N556" s="59"/>
      <c r="T556" s="80"/>
      <c r="U556" s="80"/>
    </row>
    <row r="557">
      <c r="L557" s="59"/>
      <c r="M557" s="59"/>
      <c r="N557" s="59"/>
      <c r="T557" s="80"/>
      <c r="U557" s="80"/>
    </row>
    <row r="558">
      <c r="L558" s="59"/>
      <c r="M558" s="59"/>
      <c r="N558" s="59"/>
      <c r="T558" s="80"/>
      <c r="U558" s="80"/>
    </row>
    <row r="559">
      <c r="L559" s="59"/>
      <c r="M559" s="59"/>
      <c r="N559" s="59"/>
      <c r="T559" s="80"/>
      <c r="U559" s="80"/>
    </row>
    <row r="560">
      <c r="L560" s="59"/>
      <c r="M560" s="59"/>
      <c r="N560" s="59"/>
      <c r="T560" s="80"/>
      <c r="U560" s="80"/>
    </row>
    <row r="561">
      <c r="L561" s="59"/>
      <c r="M561" s="59"/>
      <c r="N561" s="59"/>
      <c r="T561" s="80"/>
      <c r="U561" s="80"/>
    </row>
    <row r="562">
      <c r="L562" s="59"/>
      <c r="M562" s="59"/>
      <c r="N562" s="59"/>
      <c r="T562" s="80"/>
      <c r="U562" s="80"/>
    </row>
    <row r="563">
      <c r="L563" s="59"/>
      <c r="M563" s="59"/>
      <c r="N563" s="59"/>
      <c r="T563" s="80"/>
      <c r="U563" s="80"/>
    </row>
    <row r="564">
      <c r="L564" s="59"/>
      <c r="M564" s="59"/>
      <c r="N564" s="59"/>
      <c r="T564" s="80"/>
      <c r="U564" s="80"/>
    </row>
    <row r="565">
      <c r="L565" s="59"/>
      <c r="M565" s="59"/>
      <c r="N565" s="59"/>
      <c r="T565" s="80"/>
      <c r="U565" s="80"/>
    </row>
    <row r="566">
      <c r="L566" s="59"/>
      <c r="M566" s="59"/>
      <c r="N566" s="59"/>
      <c r="T566" s="80"/>
      <c r="U566" s="80"/>
    </row>
    <row r="567">
      <c r="L567" s="59"/>
      <c r="M567" s="59"/>
      <c r="N567" s="59"/>
      <c r="T567" s="80"/>
      <c r="U567" s="80"/>
    </row>
    <row r="568">
      <c r="L568" s="59"/>
      <c r="M568" s="59"/>
      <c r="N568" s="59"/>
      <c r="T568" s="80"/>
      <c r="U568" s="80"/>
    </row>
    <row r="569">
      <c r="L569" s="59"/>
      <c r="M569" s="59"/>
      <c r="N569" s="59"/>
      <c r="T569" s="80"/>
      <c r="U569" s="80"/>
    </row>
    <row r="570">
      <c r="L570" s="59"/>
      <c r="M570" s="59"/>
      <c r="N570" s="59"/>
      <c r="T570" s="80"/>
      <c r="U570" s="80"/>
    </row>
    <row r="571">
      <c r="L571" s="59"/>
      <c r="M571" s="59"/>
      <c r="N571" s="59"/>
      <c r="T571" s="80"/>
      <c r="U571" s="80"/>
    </row>
    <row r="572">
      <c r="L572" s="59"/>
      <c r="M572" s="59"/>
      <c r="N572" s="59"/>
      <c r="T572" s="80"/>
      <c r="U572" s="80"/>
    </row>
    <row r="573">
      <c r="L573" s="59"/>
      <c r="M573" s="59"/>
      <c r="N573" s="59"/>
      <c r="T573" s="80"/>
      <c r="U573" s="80"/>
    </row>
    <row r="574">
      <c r="L574" s="59"/>
      <c r="M574" s="59"/>
      <c r="N574" s="59"/>
      <c r="T574" s="80"/>
      <c r="U574" s="80"/>
    </row>
    <row r="575">
      <c r="L575" s="59"/>
      <c r="M575" s="59"/>
      <c r="N575" s="59"/>
      <c r="T575" s="80"/>
      <c r="U575" s="80"/>
    </row>
    <row r="576">
      <c r="L576" s="59"/>
      <c r="M576" s="59"/>
      <c r="N576" s="59"/>
      <c r="T576" s="80"/>
      <c r="U576" s="80"/>
    </row>
    <row r="577">
      <c r="L577" s="59"/>
      <c r="M577" s="59"/>
      <c r="N577" s="59"/>
      <c r="T577" s="80"/>
      <c r="U577" s="80"/>
    </row>
    <row r="578">
      <c r="L578" s="59"/>
      <c r="M578" s="59"/>
      <c r="N578" s="59"/>
      <c r="T578" s="80"/>
      <c r="U578" s="80"/>
    </row>
    <row r="579">
      <c r="L579" s="59"/>
      <c r="M579" s="59"/>
      <c r="N579" s="59"/>
      <c r="T579" s="80"/>
      <c r="U579" s="80"/>
    </row>
    <row r="580">
      <c r="L580" s="59"/>
      <c r="M580" s="59"/>
      <c r="N580" s="59"/>
      <c r="T580" s="80"/>
      <c r="U580" s="80"/>
    </row>
    <row r="581">
      <c r="L581" s="59"/>
      <c r="M581" s="59"/>
      <c r="N581" s="59"/>
      <c r="T581" s="80"/>
      <c r="U581" s="80"/>
    </row>
    <row r="582">
      <c r="L582" s="59"/>
      <c r="M582" s="59"/>
      <c r="N582" s="59"/>
      <c r="T582" s="80"/>
      <c r="U582" s="80"/>
    </row>
    <row r="583">
      <c r="L583" s="59"/>
      <c r="M583" s="59"/>
      <c r="N583" s="59"/>
      <c r="T583" s="80"/>
      <c r="U583" s="80"/>
    </row>
    <row r="584">
      <c r="L584" s="59"/>
      <c r="M584" s="59"/>
      <c r="N584" s="59"/>
      <c r="T584" s="80"/>
      <c r="U584" s="80"/>
    </row>
    <row r="585">
      <c r="L585" s="59"/>
      <c r="M585" s="59"/>
      <c r="N585" s="59"/>
      <c r="T585" s="80"/>
      <c r="U585" s="80"/>
    </row>
    <row r="586">
      <c r="L586" s="59"/>
      <c r="M586" s="59"/>
      <c r="N586" s="59"/>
      <c r="T586" s="80"/>
      <c r="U586" s="80"/>
    </row>
    <row r="587">
      <c r="L587" s="59"/>
      <c r="M587" s="59"/>
      <c r="N587" s="59"/>
      <c r="T587" s="80"/>
      <c r="U587" s="80"/>
    </row>
    <row r="588">
      <c r="L588" s="59"/>
      <c r="M588" s="59"/>
      <c r="N588" s="59"/>
      <c r="T588" s="80"/>
      <c r="U588" s="80"/>
    </row>
    <row r="589">
      <c r="L589" s="59"/>
      <c r="M589" s="59"/>
      <c r="N589" s="59"/>
      <c r="T589" s="80"/>
      <c r="U589" s="80"/>
    </row>
    <row r="590">
      <c r="L590" s="59"/>
      <c r="M590" s="59"/>
      <c r="N590" s="59"/>
      <c r="T590" s="80"/>
      <c r="U590" s="80"/>
    </row>
    <row r="591">
      <c r="L591" s="59"/>
      <c r="M591" s="59"/>
      <c r="N591" s="59"/>
      <c r="T591" s="80"/>
      <c r="U591" s="80"/>
    </row>
    <row r="592">
      <c r="L592" s="59"/>
      <c r="M592" s="59"/>
      <c r="N592" s="59"/>
      <c r="T592" s="80"/>
      <c r="U592" s="80"/>
    </row>
    <row r="593">
      <c r="L593" s="59"/>
      <c r="M593" s="59"/>
      <c r="N593" s="59"/>
      <c r="T593" s="80"/>
      <c r="U593" s="80"/>
    </row>
    <row r="594">
      <c r="L594" s="59"/>
      <c r="M594" s="59"/>
      <c r="N594" s="59"/>
      <c r="T594" s="80"/>
      <c r="U594" s="80"/>
    </row>
    <row r="595">
      <c r="L595" s="59"/>
      <c r="M595" s="59"/>
      <c r="N595" s="59"/>
      <c r="T595" s="80"/>
      <c r="U595" s="80"/>
    </row>
    <row r="596">
      <c r="L596" s="59"/>
      <c r="M596" s="59"/>
      <c r="N596" s="59"/>
      <c r="T596" s="80"/>
      <c r="U596" s="80"/>
    </row>
    <row r="597">
      <c r="L597" s="59"/>
      <c r="M597" s="59"/>
      <c r="N597" s="59"/>
      <c r="T597" s="80"/>
      <c r="U597" s="80"/>
    </row>
    <row r="598">
      <c r="L598" s="59"/>
      <c r="M598" s="59"/>
      <c r="N598" s="59"/>
      <c r="T598" s="80"/>
      <c r="U598" s="80"/>
    </row>
    <row r="599">
      <c r="L599" s="59"/>
      <c r="M599" s="59"/>
      <c r="N599" s="59"/>
      <c r="T599" s="80"/>
      <c r="U599" s="80"/>
    </row>
    <row r="600">
      <c r="L600" s="59"/>
      <c r="M600" s="59"/>
      <c r="N600" s="59"/>
      <c r="T600" s="80"/>
      <c r="U600" s="80"/>
    </row>
    <row r="601">
      <c r="L601" s="59"/>
      <c r="M601" s="59"/>
      <c r="N601" s="59"/>
      <c r="T601" s="80"/>
      <c r="U601" s="80"/>
    </row>
    <row r="602">
      <c r="L602" s="59"/>
      <c r="M602" s="59"/>
      <c r="N602" s="59"/>
      <c r="T602" s="80"/>
      <c r="U602" s="80"/>
    </row>
    <row r="603">
      <c r="L603" s="59"/>
      <c r="M603" s="59"/>
      <c r="N603" s="59"/>
      <c r="T603" s="80"/>
      <c r="U603" s="80"/>
    </row>
    <row r="604">
      <c r="L604" s="59"/>
      <c r="M604" s="59"/>
      <c r="N604" s="59"/>
      <c r="T604" s="80"/>
      <c r="U604" s="80"/>
    </row>
    <row r="605">
      <c r="L605" s="59"/>
      <c r="M605" s="59"/>
      <c r="N605" s="59"/>
      <c r="T605" s="80"/>
      <c r="U605" s="80"/>
    </row>
    <row r="606">
      <c r="L606" s="59"/>
      <c r="M606" s="59"/>
      <c r="N606" s="59"/>
      <c r="T606" s="80"/>
      <c r="U606" s="80"/>
    </row>
    <row r="607">
      <c r="L607" s="59"/>
      <c r="M607" s="59"/>
      <c r="N607" s="59"/>
      <c r="T607" s="80"/>
      <c r="U607" s="80"/>
    </row>
    <row r="608">
      <c r="L608" s="59"/>
      <c r="M608" s="59"/>
      <c r="N608" s="59"/>
      <c r="T608" s="80"/>
      <c r="U608" s="80"/>
    </row>
    <row r="609">
      <c r="L609" s="59"/>
      <c r="M609" s="59"/>
      <c r="N609" s="59"/>
      <c r="T609" s="80"/>
      <c r="U609" s="80"/>
    </row>
    <row r="610">
      <c r="L610" s="59"/>
      <c r="M610" s="59"/>
      <c r="N610" s="59"/>
      <c r="T610" s="80"/>
      <c r="U610" s="80"/>
    </row>
    <row r="611">
      <c r="L611" s="59"/>
      <c r="M611" s="59"/>
      <c r="N611" s="59"/>
      <c r="T611" s="80"/>
      <c r="U611" s="80"/>
    </row>
    <row r="612">
      <c r="L612" s="59"/>
      <c r="M612" s="59"/>
      <c r="N612" s="59"/>
      <c r="T612" s="80"/>
      <c r="U612" s="80"/>
    </row>
    <row r="613">
      <c r="L613" s="59"/>
      <c r="M613" s="59"/>
      <c r="N613" s="59"/>
      <c r="T613" s="80"/>
      <c r="U613" s="80"/>
    </row>
    <row r="614">
      <c r="L614" s="59"/>
      <c r="M614" s="59"/>
      <c r="N614" s="59"/>
      <c r="T614" s="80"/>
      <c r="U614" s="80"/>
    </row>
    <row r="615">
      <c r="L615" s="59"/>
      <c r="M615" s="59"/>
      <c r="N615" s="59"/>
      <c r="T615" s="80"/>
      <c r="U615" s="80"/>
    </row>
    <row r="616">
      <c r="L616" s="59"/>
      <c r="M616" s="59"/>
      <c r="N616" s="59"/>
      <c r="T616" s="80"/>
      <c r="U616" s="80"/>
    </row>
    <row r="617">
      <c r="L617" s="59"/>
      <c r="M617" s="59"/>
      <c r="N617" s="59"/>
      <c r="T617" s="80"/>
      <c r="U617" s="80"/>
    </row>
    <row r="618">
      <c r="L618" s="59"/>
      <c r="M618" s="59"/>
      <c r="N618" s="59"/>
      <c r="T618" s="80"/>
      <c r="U618" s="80"/>
    </row>
    <row r="619">
      <c r="L619" s="59"/>
      <c r="M619" s="59"/>
      <c r="N619" s="59"/>
      <c r="T619" s="80"/>
      <c r="U619" s="80"/>
    </row>
    <row r="620">
      <c r="L620" s="59"/>
      <c r="M620" s="59"/>
      <c r="N620" s="59"/>
      <c r="T620" s="80"/>
      <c r="U620" s="80"/>
    </row>
    <row r="621">
      <c r="L621" s="59"/>
      <c r="M621" s="59"/>
      <c r="N621" s="59"/>
      <c r="T621" s="80"/>
      <c r="U621" s="80"/>
    </row>
    <row r="622">
      <c r="L622" s="59"/>
      <c r="M622" s="59"/>
      <c r="N622" s="59"/>
      <c r="T622" s="80"/>
      <c r="U622" s="80"/>
    </row>
    <row r="623">
      <c r="L623" s="59"/>
      <c r="M623" s="59"/>
      <c r="N623" s="59"/>
      <c r="T623" s="80"/>
      <c r="U623" s="80"/>
    </row>
    <row r="624">
      <c r="L624" s="59"/>
      <c r="M624" s="59"/>
      <c r="N624" s="59"/>
      <c r="T624" s="80"/>
      <c r="U624" s="80"/>
    </row>
    <row r="625">
      <c r="L625" s="59"/>
      <c r="M625" s="59"/>
      <c r="N625" s="59"/>
      <c r="T625" s="80"/>
      <c r="U625" s="80"/>
    </row>
    <row r="626">
      <c r="L626" s="59"/>
      <c r="M626" s="59"/>
      <c r="N626" s="59"/>
      <c r="T626" s="80"/>
      <c r="U626" s="80"/>
    </row>
    <row r="627">
      <c r="L627" s="59"/>
      <c r="M627" s="59"/>
      <c r="N627" s="59"/>
      <c r="T627" s="80"/>
      <c r="U627" s="80"/>
    </row>
    <row r="628">
      <c r="L628" s="59"/>
      <c r="M628" s="59"/>
      <c r="N628" s="59"/>
      <c r="T628" s="80"/>
      <c r="U628" s="80"/>
    </row>
    <row r="629">
      <c r="L629" s="59"/>
      <c r="M629" s="59"/>
      <c r="N629" s="59"/>
      <c r="T629" s="80"/>
      <c r="U629" s="80"/>
    </row>
    <row r="630">
      <c r="L630" s="59"/>
      <c r="M630" s="59"/>
      <c r="N630" s="59"/>
      <c r="T630" s="80"/>
      <c r="U630" s="80"/>
    </row>
    <row r="631">
      <c r="L631" s="59"/>
      <c r="M631" s="59"/>
      <c r="N631" s="59"/>
      <c r="T631" s="80"/>
      <c r="U631" s="80"/>
    </row>
    <row r="632">
      <c r="L632" s="59"/>
      <c r="M632" s="59"/>
      <c r="N632" s="59"/>
      <c r="T632" s="80"/>
      <c r="U632" s="80"/>
    </row>
    <row r="633">
      <c r="L633" s="59"/>
      <c r="M633" s="59"/>
      <c r="N633" s="59"/>
      <c r="T633" s="80"/>
      <c r="U633" s="80"/>
    </row>
    <row r="634">
      <c r="L634" s="59"/>
      <c r="M634" s="59"/>
      <c r="N634" s="59"/>
      <c r="T634" s="80"/>
      <c r="U634" s="80"/>
    </row>
    <row r="635">
      <c r="L635" s="59"/>
      <c r="M635" s="59"/>
      <c r="N635" s="59"/>
      <c r="T635" s="80"/>
      <c r="U635" s="80"/>
    </row>
    <row r="636">
      <c r="L636" s="59"/>
      <c r="M636" s="59"/>
      <c r="N636" s="59"/>
      <c r="T636" s="80"/>
      <c r="U636" s="80"/>
    </row>
    <row r="637">
      <c r="L637" s="59"/>
      <c r="M637" s="59"/>
      <c r="N637" s="59"/>
      <c r="T637" s="80"/>
      <c r="U637" s="80"/>
    </row>
    <row r="638">
      <c r="L638" s="59"/>
      <c r="M638" s="59"/>
      <c r="N638" s="59"/>
      <c r="T638" s="80"/>
      <c r="U638" s="80"/>
    </row>
    <row r="639">
      <c r="L639" s="59"/>
      <c r="M639" s="59"/>
      <c r="N639" s="59"/>
      <c r="T639" s="80"/>
      <c r="U639" s="80"/>
    </row>
    <row r="640">
      <c r="L640" s="59"/>
      <c r="M640" s="59"/>
      <c r="N640" s="59"/>
      <c r="T640" s="80"/>
      <c r="U640" s="80"/>
    </row>
    <row r="641">
      <c r="L641" s="59"/>
      <c r="M641" s="59"/>
      <c r="N641" s="59"/>
      <c r="T641" s="80"/>
      <c r="U641" s="80"/>
    </row>
    <row r="642">
      <c r="L642" s="59"/>
      <c r="M642" s="59"/>
      <c r="N642" s="59"/>
      <c r="T642" s="80"/>
      <c r="U642" s="80"/>
    </row>
    <row r="643">
      <c r="L643" s="59"/>
      <c r="M643" s="59"/>
      <c r="N643" s="59"/>
      <c r="T643" s="80"/>
      <c r="U643" s="80"/>
    </row>
    <row r="644">
      <c r="L644" s="59"/>
      <c r="M644" s="59"/>
      <c r="N644" s="59"/>
      <c r="T644" s="80"/>
      <c r="U644" s="80"/>
    </row>
    <row r="645">
      <c r="L645" s="59"/>
      <c r="M645" s="59"/>
      <c r="N645" s="59"/>
      <c r="T645" s="80"/>
      <c r="U645" s="80"/>
    </row>
    <row r="646">
      <c r="L646" s="59"/>
      <c r="M646" s="59"/>
      <c r="N646" s="59"/>
      <c r="T646" s="80"/>
      <c r="U646" s="80"/>
    </row>
    <row r="647">
      <c r="L647" s="59"/>
      <c r="M647" s="59"/>
      <c r="N647" s="59"/>
      <c r="T647" s="80"/>
      <c r="U647" s="80"/>
    </row>
    <row r="648">
      <c r="L648" s="59"/>
      <c r="M648" s="59"/>
      <c r="N648" s="59"/>
      <c r="T648" s="80"/>
      <c r="U648" s="80"/>
    </row>
    <row r="649">
      <c r="L649" s="59"/>
      <c r="M649" s="59"/>
      <c r="N649" s="59"/>
      <c r="T649" s="80"/>
      <c r="U649" s="80"/>
    </row>
    <row r="650">
      <c r="L650" s="59"/>
      <c r="M650" s="59"/>
      <c r="N650" s="59"/>
      <c r="T650" s="80"/>
      <c r="U650" s="80"/>
    </row>
    <row r="651">
      <c r="L651" s="59"/>
      <c r="M651" s="59"/>
      <c r="N651" s="59"/>
      <c r="T651" s="80"/>
      <c r="U651" s="80"/>
    </row>
    <row r="652">
      <c r="L652" s="59"/>
      <c r="M652" s="59"/>
      <c r="N652" s="59"/>
      <c r="T652" s="80"/>
      <c r="U652" s="80"/>
    </row>
    <row r="653">
      <c r="L653" s="59"/>
      <c r="M653" s="59"/>
      <c r="N653" s="59"/>
      <c r="T653" s="80"/>
      <c r="U653" s="80"/>
    </row>
    <row r="654">
      <c r="L654" s="59"/>
      <c r="M654" s="59"/>
      <c r="N654" s="59"/>
      <c r="T654" s="80"/>
      <c r="U654" s="80"/>
    </row>
    <row r="655">
      <c r="L655" s="59"/>
      <c r="M655" s="59"/>
      <c r="N655" s="59"/>
      <c r="T655" s="80"/>
      <c r="U655" s="80"/>
    </row>
    <row r="656">
      <c r="L656" s="59"/>
      <c r="M656" s="59"/>
      <c r="N656" s="59"/>
      <c r="T656" s="80"/>
      <c r="U656" s="80"/>
    </row>
    <row r="657">
      <c r="L657" s="59"/>
      <c r="M657" s="59"/>
      <c r="N657" s="59"/>
      <c r="T657" s="80"/>
      <c r="U657" s="80"/>
    </row>
    <row r="658">
      <c r="L658" s="59"/>
      <c r="M658" s="59"/>
      <c r="N658" s="59"/>
      <c r="T658" s="80"/>
      <c r="U658" s="80"/>
    </row>
    <row r="659">
      <c r="L659" s="59"/>
      <c r="M659" s="59"/>
      <c r="N659" s="59"/>
      <c r="T659" s="80"/>
      <c r="U659" s="80"/>
    </row>
    <row r="660">
      <c r="L660" s="59"/>
      <c r="M660" s="59"/>
      <c r="N660" s="59"/>
      <c r="T660" s="80"/>
      <c r="U660" s="80"/>
    </row>
    <row r="661">
      <c r="L661" s="59"/>
      <c r="M661" s="59"/>
      <c r="N661" s="59"/>
      <c r="T661" s="80"/>
      <c r="U661" s="80"/>
    </row>
    <row r="662">
      <c r="L662" s="59"/>
      <c r="M662" s="59"/>
      <c r="N662" s="59"/>
      <c r="T662" s="80"/>
      <c r="U662" s="80"/>
    </row>
    <row r="663">
      <c r="L663" s="59"/>
      <c r="M663" s="59"/>
      <c r="N663" s="59"/>
      <c r="T663" s="80"/>
      <c r="U663" s="80"/>
    </row>
    <row r="664">
      <c r="L664" s="59"/>
      <c r="M664" s="59"/>
      <c r="N664" s="59"/>
      <c r="T664" s="80"/>
      <c r="U664" s="80"/>
    </row>
    <row r="665">
      <c r="L665" s="59"/>
      <c r="M665" s="59"/>
      <c r="N665" s="59"/>
      <c r="T665" s="80"/>
      <c r="U665" s="80"/>
    </row>
    <row r="666">
      <c r="L666" s="59"/>
      <c r="M666" s="59"/>
      <c r="N666" s="59"/>
      <c r="T666" s="80"/>
      <c r="U666" s="80"/>
    </row>
    <row r="667">
      <c r="L667" s="59"/>
      <c r="M667" s="59"/>
      <c r="N667" s="59"/>
      <c r="T667" s="80"/>
      <c r="U667" s="80"/>
    </row>
    <row r="668">
      <c r="L668" s="59"/>
      <c r="M668" s="59"/>
      <c r="N668" s="59"/>
      <c r="T668" s="80"/>
      <c r="U668" s="80"/>
    </row>
    <row r="669">
      <c r="L669" s="59"/>
      <c r="M669" s="59"/>
      <c r="N669" s="59"/>
      <c r="T669" s="80"/>
      <c r="U669" s="80"/>
    </row>
    <row r="670">
      <c r="L670" s="59"/>
      <c r="M670" s="59"/>
      <c r="N670" s="59"/>
      <c r="T670" s="80"/>
      <c r="U670" s="80"/>
    </row>
    <row r="671">
      <c r="L671" s="59"/>
      <c r="M671" s="59"/>
      <c r="N671" s="59"/>
      <c r="T671" s="80"/>
      <c r="U671" s="80"/>
    </row>
    <row r="672">
      <c r="L672" s="59"/>
      <c r="M672" s="59"/>
      <c r="N672" s="59"/>
      <c r="T672" s="80"/>
      <c r="U672" s="80"/>
    </row>
    <row r="673">
      <c r="L673" s="59"/>
      <c r="M673" s="59"/>
      <c r="N673" s="59"/>
      <c r="T673" s="80"/>
      <c r="U673" s="80"/>
    </row>
    <row r="674">
      <c r="L674" s="59"/>
      <c r="M674" s="59"/>
      <c r="N674" s="59"/>
      <c r="T674" s="80"/>
      <c r="U674" s="80"/>
    </row>
    <row r="675">
      <c r="L675" s="59"/>
      <c r="M675" s="59"/>
      <c r="N675" s="59"/>
      <c r="T675" s="80"/>
      <c r="U675" s="80"/>
    </row>
    <row r="676">
      <c r="L676" s="59"/>
      <c r="M676" s="59"/>
      <c r="N676" s="59"/>
      <c r="T676" s="80"/>
      <c r="U676" s="80"/>
    </row>
    <row r="677">
      <c r="L677" s="59"/>
      <c r="M677" s="59"/>
      <c r="N677" s="59"/>
      <c r="T677" s="80"/>
      <c r="U677" s="80"/>
    </row>
    <row r="678">
      <c r="L678" s="59"/>
      <c r="M678" s="59"/>
      <c r="N678" s="59"/>
      <c r="T678" s="80"/>
      <c r="U678" s="80"/>
    </row>
    <row r="679">
      <c r="L679" s="59"/>
      <c r="M679" s="59"/>
      <c r="N679" s="59"/>
      <c r="T679" s="80"/>
      <c r="U679" s="80"/>
    </row>
    <row r="680">
      <c r="L680" s="59"/>
      <c r="M680" s="59"/>
      <c r="N680" s="59"/>
      <c r="T680" s="80"/>
      <c r="U680" s="80"/>
    </row>
    <row r="681">
      <c r="L681" s="59"/>
      <c r="M681" s="59"/>
      <c r="N681" s="59"/>
      <c r="T681" s="80"/>
      <c r="U681" s="80"/>
    </row>
    <row r="682">
      <c r="L682" s="59"/>
      <c r="M682" s="59"/>
      <c r="N682" s="59"/>
      <c r="T682" s="80"/>
      <c r="U682" s="80"/>
    </row>
    <row r="683">
      <c r="L683" s="59"/>
      <c r="M683" s="59"/>
      <c r="N683" s="59"/>
      <c r="T683" s="80"/>
      <c r="U683" s="80"/>
    </row>
    <row r="684">
      <c r="L684" s="59"/>
      <c r="M684" s="59"/>
      <c r="N684" s="59"/>
      <c r="T684" s="80"/>
      <c r="U684" s="80"/>
    </row>
    <row r="685">
      <c r="L685" s="59"/>
      <c r="M685" s="59"/>
      <c r="N685" s="59"/>
      <c r="T685" s="80"/>
      <c r="U685" s="80"/>
    </row>
    <row r="686">
      <c r="L686" s="59"/>
      <c r="M686" s="59"/>
      <c r="N686" s="59"/>
      <c r="T686" s="80"/>
      <c r="U686" s="80"/>
    </row>
    <row r="687">
      <c r="L687" s="59"/>
      <c r="M687" s="59"/>
      <c r="N687" s="59"/>
      <c r="T687" s="80"/>
      <c r="U687" s="80"/>
    </row>
    <row r="688">
      <c r="L688" s="59"/>
      <c r="M688" s="59"/>
      <c r="N688" s="59"/>
      <c r="T688" s="80"/>
      <c r="U688" s="80"/>
    </row>
    <row r="689">
      <c r="L689" s="59"/>
      <c r="M689" s="59"/>
      <c r="N689" s="59"/>
      <c r="T689" s="80"/>
      <c r="U689" s="80"/>
    </row>
    <row r="690">
      <c r="L690" s="59"/>
      <c r="M690" s="59"/>
      <c r="N690" s="59"/>
      <c r="T690" s="80"/>
      <c r="U690" s="80"/>
    </row>
    <row r="691">
      <c r="L691" s="59"/>
      <c r="M691" s="59"/>
      <c r="N691" s="59"/>
      <c r="T691" s="80"/>
      <c r="U691" s="80"/>
    </row>
    <row r="692">
      <c r="L692" s="59"/>
      <c r="M692" s="59"/>
      <c r="N692" s="59"/>
      <c r="T692" s="80"/>
      <c r="U692" s="80"/>
    </row>
    <row r="693">
      <c r="L693" s="59"/>
      <c r="M693" s="59"/>
      <c r="N693" s="59"/>
      <c r="T693" s="80"/>
      <c r="U693" s="80"/>
    </row>
    <row r="694">
      <c r="L694" s="59"/>
      <c r="M694" s="59"/>
      <c r="N694" s="59"/>
      <c r="T694" s="80"/>
      <c r="U694" s="80"/>
    </row>
    <row r="695">
      <c r="L695" s="59"/>
      <c r="M695" s="59"/>
      <c r="N695" s="59"/>
      <c r="T695" s="80"/>
      <c r="U695" s="80"/>
    </row>
    <row r="696">
      <c r="L696" s="59"/>
      <c r="M696" s="59"/>
      <c r="N696" s="59"/>
      <c r="T696" s="80"/>
      <c r="U696" s="80"/>
    </row>
    <row r="697">
      <c r="L697" s="59"/>
      <c r="M697" s="59"/>
      <c r="N697" s="59"/>
      <c r="T697" s="80"/>
      <c r="U697" s="80"/>
    </row>
    <row r="698">
      <c r="L698" s="59"/>
      <c r="M698" s="59"/>
      <c r="N698" s="59"/>
      <c r="T698" s="80"/>
      <c r="U698" s="80"/>
    </row>
    <row r="699">
      <c r="L699" s="59"/>
      <c r="M699" s="59"/>
      <c r="N699" s="59"/>
      <c r="T699" s="80"/>
      <c r="U699" s="80"/>
    </row>
    <row r="700">
      <c r="L700" s="59"/>
      <c r="M700" s="59"/>
      <c r="N700" s="59"/>
      <c r="T700" s="80"/>
      <c r="U700" s="80"/>
    </row>
    <row r="701">
      <c r="L701" s="59"/>
      <c r="M701" s="59"/>
      <c r="N701" s="59"/>
      <c r="T701" s="80"/>
      <c r="U701" s="80"/>
    </row>
    <row r="702">
      <c r="L702" s="59"/>
      <c r="M702" s="59"/>
      <c r="N702" s="59"/>
      <c r="T702" s="80"/>
      <c r="U702" s="80"/>
    </row>
    <row r="703">
      <c r="L703" s="59"/>
      <c r="M703" s="59"/>
      <c r="N703" s="59"/>
      <c r="T703" s="80"/>
      <c r="U703" s="80"/>
    </row>
    <row r="704">
      <c r="L704" s="59"/>
      <c r="M704" s="59"/>
      <c r="T704" s="80"/>
      <c r="U704" s="80"/>
    </row>
    <row r="705">
      <c r="L705" s="59"/>
      <c r="M705" s="59"/>
      <c r="T705" s="80"/>
      <c r="U705" s="80"/>
    </row>
    <row r="706">
      <c r="L706" s="59"/>
      <c r="M706" s="59"/>
      <c r="T706" s="80"/>
      <c r="U706" s="80"/>
    </row>
    <row r="707">
      <c r="L707" s="59"/>
      <c r="M707" s="59"/>
      <c r="T707" s="80"/>
      <c r="U707" s="80"/>
    </row>
    <row r="708">
      <c r="L708" s="59"/>
      <c r="M708" s="59"/>
      <c r="T708" s="80"/>
      <c r="U708" s="80"/>
    </row>
    <row r="709">
      <c r="L709" s="59"/>
      <c r="M709" s="59"/>
      <c r="T709" s="80"/>
      <c r="U709" s="80"/>
    </row>
    <row r="710">
      <c r="L710" s="59"/>
      <c r="M710" s="59"/>
      <c r="T710" s="80"/>
      <c r="U710" s="80"/>
    </row>
    <row r="711">
      <c r="L711" s="59"/>
      <c r="M711" s="59"/>
      <c r="T711" s="80"/>
      <c r="U711" s="80"/>
    </row>
    <row r="712">
      <c r="L712" s="59"/>
      <c r="M712" s="59"/>
      <c r="T712" s="80"/>
      <c r="U712" s="80"/>
    </row>
    <row r="713">
      <c r="L713" s="59"/>
      <c r="M713" s="59"/>
      <c r="T713" s="80"/>
      <c r="U713" s="80"/>
    </row>
    <row r="714">
      <c r="L714" s="59"/>
      <c r="M714" s="59"/>
      <c r="T714" s="80"/>
      <c r="U714" s="80"/>
    </row>
    <row r="715">
      <c r="L715" s="59"/>
      <c r="M715" s="59"/>
      <c r="T715" s="80"/>
      <c r="U715" s="80"/>
    </row>
    <row r="716">
      <c r="L716" s="59"/>
      <c r="M716" s="59"/>
      <c r="T716" s="80"/>
      <c r="U716" s="80"/>
    </row>
    <row r="717">
      <c r="L717" s="59"/>
      <c r="M717" s="59"/>
      <c r="T717" s="80"/>
      <c r="U717" s="80"/>
    </row>
    <row r="718">
      <c r="L718" s="59"/>
      <c r="M718" s="59"/>
      <c r="T718" s="80"/>
      <c r="U718" s="80"/>
    </row>
    <row r="719">
      <c r="L719" s="59"/>
      <c r="M719" s="59"/>
      <c r="T719" s="80"/>
      <c r="U719" s="80"/>
    </row>
    <row r="720">
      <c r="L720" s="59"/>
      <c r="M720" s="59"/>
      <c r="T720" s="80"/>
      <c r="U720" s="80"/>
    </row>
    <row r="721">
      <c r="L721" s="59"/>
      <c r="M721" s="59"/>
      <c r="T721" s="80"/>
      <c r="U721" s="80"/>
    </row>
    <row r="722">
      <c r="L722" s="59"/>
      <c r="M722" s="59"/>
      <c r="T722" s="80"/>
      <c r="U722" s="80"/>
    </row>
    <row r="723">
      <c r="L723" s="59"/>
      <c r="M723" s="59"/>
      <c r="T723" s="80"/>
      <c r="U723" s="80"/>
    </row>
    <row r="724">
      <c r="L724" s="59"/>
      <c r="M724" s="59"/>
      <c r="T724" s="80"/>
      <c r="U724" s="80"/>
    </row>
    <row r="725">
      <c r="L725" s="59"/>
      <c r="M725" s="59"/>
      <c r="T725" s="80"/>
      <c r="U725" s="80"/>
    </row>
    <row r="726">
      <c r="L726" s="59"/>
      <c r="M726" s="59"/>
      <c r="T726" s="80"/>
      <c r="U726" s="80"/>
    </row>
    <row r="727">
      <c r="L727" s="59"/>
      <c r="M727" s="59"/>
      <c r="T727" s="80"/>
      <c r="U727" s="80"/>
    </row>
    <row r="728">
      <c r="L728" s="59"/>
      <c r="M728" s="59"/>
      <c r="T728" s="80"/>
      <c r="U728" s="80"/>
    </row>
    <row r="729">
      <c r="L729" s="59"/>
      <c r="M729" s="59"/>
      <c r="T729" s="80"/>
      <c r="U729" s="80"/>
    </row>
    <row r="730">
      <c r="L730" s="59"/>
      <c r="M730" s="59"/>
      <c r="T730" s="80"/>
      <c r="U730" s="80"/>
    </row>
    <row r="731">
      <c r="L731" s="59"/>
      <c r="M731" s="59"/>
      <c r="T731" s="80"/>
      <c r="U731" s="80"/>
    </row>
    <row r="732">
      <c r="L732" s="59"/>
      <c r="M732" s="59"/>
      <c r="T732" s="80"/>
      <c r="U732" s="80"/>
    </row>
    <row r="733">
      <c r="L733" s="59"/>
      <c r="M733" s="59"/>
      <c r="T733" s="80"/>
      <c r="U733" s="80"/>
    </row>
    <row r="734">
      <c r="L734" s="59"/>
      <c r="M734" s="59"/>
      <c r="T734" s="80"/>
      <c r="U734" s="80"/>
    </row>
    <row r="735">
      <c r="L735" s="59"/>
      <c r="M735" s="59"/>
      <c r="T735" s="80"/>
      <c r="U735" s="80"/>
    </row>
    <row r="736">
      <c r="L736" s="59"/>
      <c r="M736" s="59"/>
      <c r="T736" s="80"/>
      <c r="U736" s="80"/>
    </row>
    <row r="737">
      <c r="L737" s="59"/>
      <c r="M737" s="59"/>
      <c r="T737" s="80"/>
      <c r="U737" s="80"/>
    </row>
    <row r="738">
      <c r="L738" s="59"/>
      <c r="M738" s="59"/>
      <c r="T738" s="80"/>
      <c r="U738" s="80"/>
    </row>
    <row r="739">
      <c r="L739" s="59"/>
      <c r="M739" s="59"/>
      <c r="T739" s="80"/>
      <c r="U739" s="80"/>
    </row>
    <row r="740">
      <c r="L740" s="59"/>
      <c r="M740" s="59"/>
      <c r="T740" s="80"/>
      <c r="U740" s="80"/>
    </row>
    <row r="741">
      <c r="L741" s="59"/>
      <c r="M741" s="59"/>
      <c r="T741" s="80"/>
      <c r="U741" s="80"/>
    </row>
    <row r="742">
      <c r="L742" s="59"/>
      <c r="M742" s="59"/>
      <c r="T742" s="80"/>
      <c r="U742" s="80"/>
    </row>
    <row r="743">
      <c r="L743" s="59"/>
      <c r="M743" s="59"/>
      <c r="T743" s="80"/>
      <c r="U743" s="80"/>
    </row>
    <row r="744">
      <c r="L744" s="59"/>
      <c r="M744" s="59"/>
      <c r="T744" s="80"/>
      <c r="U744" s="80"/>
    </row>
    <row r="745">
      <c r="L745" s="59"/>
      <c r="M745" s="59"/>
      <c r="T745" s="80"/>
      <c r="U745" s="80"/>
    </row>
    <row r="746">
      <c r="L746" s="59"/>
      <c r="M746" s="59"/>
      <c r="T746" s="80"/>
      <c r="U746" s="80"/>
    </row>
    <row r="747">
      <c r="L747" s="59"/>
      <c r="M747" s="59"/>
      <c r="T747" s="80"/>
      <c r="U747" s="80"/>
    </row>
    <row r="748">
      <c r="L748" s="59"/>
      <c r="M748" s="59"/>
      <c r="T748" s="80"/>
      <c r="U748" s="80"/>
    </row>
    <row r="749">
      <c r="L749" s="59"/>
      <c r="M749" s="59"/>
      <c r="T749" s="80"/>
      <c r="U749" s="80"/>
    </row>
    <row r="750">
      <c r="L750" s="59"/>
      <c r="M750" s="59"/>
      <c r="T750" s="80"/>
      <c r="U750" s="80"/>
    </row>
    <row r="751">
      <c r="L751" s="59"/>
      <c r="M751" s="59"/>
      <c r="T751" s="80"/>
      <c r="U751" s="80"/>
    </row>
    <row r="752">
      <c r="L752" s="59"/>
      <c r="M752" s="59"/>
      <c r="T752" s="80"/>
      <c r="U752" s="80"/>
    </row>
    <row r="753">
      <c r="L753" s="59"/>
      <c r="M753" s="59"/>
      <c r="T753" s="80"/>
      <c r="U753" s="80"/>
    </row>
    <row r="754">
      <c r="L754" s="59"/>
      <c r="M754" s="59"/>
      <c r="T754" s="80"/>
      <c r="U754" s="80"/>
    </row>
    <row r="755">
      <c r="L755" s="59"/>
      <c r="M755" s="59"/>
      <c r="T755" s="80"/>
      <c r="U755" s="80"/>
    </row>
    <row r="756">
      <c r="L756" s="59"/>
      <c r="M756" s="59"/>
      <c r="T756" s="80"/>
      <c r="U756" s="80"/>
    </row>
    <row r="757">
      <c r="L757" s="59"/>
      <c r="M757" s="59"/>
      <c r="T757" s="80"/>
      <c r="U757" s="80"/>
    </row>
    <row r="758">
      <c r="L758" s="59"/>
      <c r="M758" s="59"/>
      <c r="T758" s="80"/>
      <c r="U758" s="80"/>
    </row>
    <row r="759">
      <c r="L759" s="59"/>
      <c r="M759" s="59"/>
      <c r="T759" s="80"/>
      <c r="U759" s="80"/>
    </row>
    <row r="760">
      <c r="L760" s="59"/>
      <c r="M760" s="59"/>
      <c r="T760" s="80"/>
      <c r="U760" s="80"/>
    </row>
    <row r="761">
      <c r="L761" s="59"/>
      <c r="M761" s="59"/>
      <c r="T761" s="80"/>
      <c r="U761" s="80"/>
    </row>
    <row r="762">
      <c r="L762" s="59"/>
      <c r="M762" s="59"/>
      <c r="T762" s="80"/>
      <c r="U762" s="80"/>
    </row>
    <row r="763">
      <c r="L763" s="59"/>
      <c r="M763" s="59"/>
      <c r="T763" s="80"/>
      <c r="U763" s="80"/>
    </row>
    <row r="764">
      <c r="L764" s="59"/>
      <c r="M764" s="59"/>
      <c r="T764" s="80"/>
      <c r="U764" s="80"/>
    </row>
    <row r="765">
      <c r="L765" s="59"/>
      <c r="M765" s="59"/>
      <c r="T765" s="80"/>
      <c r="U765" s="80"/>
    </row>
    <row r="766">
      <c r="L766" s="59"/>
      <c r="M766" s="59"/>
      <c r="T766" s="80"/>
      <c r="U766" s="80"/>
    </row>
    <row r="767">
      <c r="L767" s="59"/>
      <c r="M767" s="59"/>
      <c r="T767" s="80"/>
      <c r="U767" s="80"/>
    </row>
    <row r="768">
      <c r="L768" s="59"/>
      <c r="M768" s="59"/>
      <c r="T768" s="80"/>
      <c r="U768" s="80"/>
    </row>
    <row r="769">
      <c r="L769" s="59"/>
      <c r="M769" s="59"/>
      <c r="T769" s="80"/>
      <c r="U769" s="80"/>
    </row>
    <row r="770">
      <c r="L770" s="59"/>
      <c r="M770" s="59"/>
      <c r="T770" s="80"/>
      <c r="U770" s="80"/>
    </row>
    <row r="771">
      <c r="L771" s="59"/>
      <c r="M771" s="59"/>
      <c r="T771" s="80"/>
      <c r="U771" s="80"/>
    </row>
    <row r="772">
      <c r="L772" s="59"/>
      <c r="M772" s="59"/>
      <c r="T772" s="80"/>
      <c r="U772" s="80"/>
    </row>
    <row r="773">
      <c r="L773" s="59"/>
      <c r="M773" s="59"/>
      <c r="T773" s="80"/>
      <c r="U773" s="80"/>
    </row>
    <row r="774">
      <c r="L774" s="59"/>
      <c r="M774" s="59"/>
      <c r="T774" s="80"/>
      <c r="U774" s="80"/>
    </row>
    <row r="775">
      <c r="L775" s="59"/>
      <c r="M775" s="59"/>
      <c r="T775" s="80"/>
      <c r="U775" s="80"/>
    </row>
    <row r="776">
      <c r="L776" s="59"/>
      <c r="M776" s="59"/>
      <c r="T776" s="80"/>
      <c r="U776" s="80"/>
    </row>
    <row r="777">
      <c r="L777" s="59"/>
      <c r="M777" s="59"/>
      <c r="T777" s="80"/>
      <c r="U777" s="80"/>
    </row>
    <row r="778">
      <c r="L778" s="59"/>
      <c r="M778" s="59"/>
      <c r="T778" s="80"/>
      <c r="U778" s="80"/>
    </row>
    <row r="779">
      <c r="L779" s="59"/>
      <c r="M779" s="59"/>
      <c r="T779" s="80"/>
      <c r="U779" s="80"/>
    </row>
    <row r="780">
      <c r="L780" s="59"/>
      <c r="M780" s="59"/>
      <c r="T780" s="80"/>
      <c r="U780" s="80"/>
    </row>
    <row r="781">
      <c r="L781" s="59"/>
      <c r="M781" s="59"/>
      <c r="T781" s="80"/>
      <c r="U781" s="80"/>
    </row>
    <row r="782">
      <c r="L782" s="59"/>
      <c r="M782" s="59"/>
      <c r="T782" s="80"/>
      <c r="U782" s="80"/>
    </row>
    <row r="783">
      <c r="L783" s="59"/>
      <c r="M783" s="59"/>
      <c r="T783" s="80"/>
      <c r="U783" s="80"/>
    </row>
    <row r="784">
      <c r="L784" s="59"/>
      <c r="M784" s="59"/>
      <c r="T784" s="80"/>
      <c r="U784" s="80"/>
    </row>
    <row r="785">
      <c r="L785" s="59"/>
      <c r="M785" s="59"/>
      <c r="T785" s="80"/>
      <c r="U785" s="80"/>
    </row>
    <row r="786">
      <c r="L786" s="59"/>
      <c r="M786" s="59"/>
      <c r="T786" s="80"/>
      <c r="U786" s="80"/>
    </row>
    <row r="787">
      <c r="L787" s="59"/>
      <c r="M787" s="59"/>
      <c r="T787" s="80"/>
      <c r="U787" s="80"/>
    </row>
    <row r="788">
      <c r="L788" s="59"/>
      <c r="M788" s="59"/>
      <c r="T788" s="80"/>
      <c r="U788" s="80"/>
    </row>
    <row r="789">
      <c r="L789" s="59"/>
      <c r="M789" s="59"/>
      <c r="T789" s="80"/>
      <c r="U789" s="80"/>
    </row>
    <row r="790">
      <c r="L790" s="59"/>
      <c r="M790" s="59"/>
      <c r="T790" s="80"/>
      <c r="U790" s="80"/>
    </row>
    <row r="791">
      <c r="L791" s="59"/>
      <c r="M791" s="59"/>
      <c r="T791" s="80"/>
      <c r="U791" s="80"/>
    </row>
    <row r="792">
      <c r="L792" s="59"/>
      <c r="M792" s="59"/>
      <c r="T792" s="80"/>
      <c r="U792" s="80"/>
    </row>
    <row r="793">
      <c r="L793" s="59"/>
      <c r="M793" s="59"/>
      <c r="T793" s="80"/>
      <c r="U793" s="80"/>
    </row>
    <row r="794">
      <c r="L794" s="59"/>
      <c r="M794" s="59"/>
      <c r="T794" s="80"/>
      <c r="U794" s="80"/>
    </row>
    <row r="795">
      <c r="L795" s="59"/>
      <c r="M795" s="59"/>
      <c r="T795" s="80"/>
      <c r="U795" s="80"/>
    </row>
    <row r="796">
      <c r="L796" s="59"/>
      <c r="M796" s="59"/>
      <c r="T796" s="80"/>
      <c r="U796" s="80"/>
    </row>
    <row r="797">
      <c r="L797" s="59"/>
      <c r="M797" s="59"/>
      <c r="T797" s="80"/>
      <c r="U797" s="80"/>
    </row>
    <row r="798">
      <c r="L798" s="59"/>
      <c r="M798" s="59"/>
      <c r="T798" s="80"/>
      <c r="U798" s="80"/>
    </row>
    <row r="799">
      <c r="L799" s="59"/>
      <c r="M799" s="59"/>
      <c r="T799" s="80"/>
      <c r="U799" s="80"/>
    </row>
    <row r="800">
      <c r="L800" s="59"/>
      <c r="M800" s="59"/>
      <c r="T800" s="80"/>
      <c r="U800" s="80"/>
    </row>
    <row r="801">
      <c r="L801" s="59"/>
      <c r="M801" s="59"/>
      <c r="T801" s="80"/>
      <c r="U801" s="80"/>
    </row>
    <row r="802">
      <c r="L802" s="59"/>
      <c r="M802" s="59"/>
      <c r="T802" s="80"/>
      <c r="U802" s="80"/>
    </row>
    <row r="803">
      <c r="L803" s="59"/>
      <c r="M803" s="59"/>
      <c r="T803" s="80"/>
      <c r="U803" s="80"/>
    </row>
    <row r="804">
      <c r="L804" s="59"/>
      <c r="M804" s="59"/>
      <c r="T804" s="80"/>
      <c r="U804" s="80"/>
    </row>
    <row r="805">
      <c r="L805" s="59"/>
      <c r="M805" s="59"/>
      <c r="T805" s="80"/>
      <c r="U805" s="80"/>
    </row>
    <row r="806">
      <c r="L806" s="59"/>
      <c r="M806" s="59"/>
      <c r="T806" s="80"/>
      <c r="U806" s="80"/>
    </row>
    <row r="807">
      <c r="L807" s="59"/>
      <c r="M807" s="59"/>
      <c r="T807" s="80"/>
      <c r="U807" s="80"/>
    </row>
    <row r="808">
      <c r="L808" s="59"/>
      <c r="M808" s="59"/>
      <c r="T808" s="80"/>
      <c r="U808" s="80"/>
    </row>
    <row r="809">
      <c r="L809" s="59"/>
      <c r="M809" s="59"/>
      <c r="T809" s="80"/>
      <c r="U809" s="80"/>
    </row>
    <row r="810">
      <c r="L810" s="59"/>
      <c r="M810" s="59"/>
      <c r="T810" s="80"/>
      <c r="U810" s="80"/>
    </row>
    <row r="811">
      <c r="L811" s="59"/>
      <c r="M811" s="59"/>
      <c r="T811" s="80"/>
      <c r="U811" s="80"/>
    </row>
    <row r="812">
      <c r="L812" s="59"/>
      <c r="M812" s="59"/>
      <c r="T812" s="80"/>
      <c r="U812" s="80"/>
    </row>
    <row r="813">
      <c r="L813" s="59"/>
      <c r="M813" s="59"/>
      <c r="T813" s="80"/>
      <c r="U813" s="80"/>
    </row>
    <row r="814">
      <c r="L814" s="59"/>
      <c r="M814" s="59"/>
      <c r="T814" s="80"/>
      <c r="U814" s="80"/>
    </row>
    <row r="815">
      <c r="L815" s="59"/>
      <c r="M815" s="59"/>
      <c r="T815" s="80"/>
      <c r="U815" s="80"/>
    </row>
    <row r="816">
      <c r="L816" s="59"/>
      <c r="M816" s="59"/>
      <c r="T816" s="80"/>
      <c r="U816" s="80"/>
    </row>
    <row r="817">
      <c r="L817" s="59"/>
      <c r="M817" s="59"/>
      <c r="T817" s="80"/>
      <c r="U817" s="80"/>
    </row>
    <row r="818">
      <c r="L818" s="59"/>
      <c r="M818" s="59"/>
      <c r="T818" s="80"/>
      <c r="U818" s="80"/>
    </row>
    <row r="819">
      <c r="L819" s="59"/>
      <c r="M819" s="59"/>
      <c r="T819" s="80"/>
      <c r="U819" s="80"/>
    </row>
    <row r="820">
      <c r="L820" s="59"/>
      <c r="M820" s="59"/>
      <c r="T820" s="80"/>
      <c r="U820" s="80"/>
    </row>
    <row r="821">
      <c r="L821" s="59"/>
      <c r="M821" s="59"/>
      <c r="T821" s="80"/>
      <c r="U821" s="80"/>
    </row>
    <row r="822">
      <c r="L822" s="59"/>
      <c r="M822" s="59"/>
      <c r="T822" s="80"/>
      <c r="U822" s="80"/>
    </row>
    <row r="823">
      <c r="L823" s="59"/>
      <c r="M823" s="59"/>
      <c r="T823" s="80"/>
      <c r="U823" s="80"/>
    </row>
    <row r="824">
      <c r="L824" s="59"/>
      <c r="M824" s="59"/>
      <c r="T824" s="80"/>
      <c r="U824" s="80"/>
    </row>
    <row r="825">
      <c r="L825" s="59"/>
      <c r="M825" s="59"/>
      <c r="T825" s="80"/>
      <c r="U825" s="80"/>
    </row>
    <row r="826">
      <c r="L826" s="59"/>
      <c r="M826" s="59"/>
      <c r="T826" s="80"/>
      <c r="U826" s="80"/>
    </row>
    <row r="827">
      <c r="L827" s="59"/>
      <c r="M827" s="59"/>
      <c r="T827" s="80"/>
      <c r="U827" s="80"/>
    </row>
    <row r="828">
      <c r="L828" s="59"/>
      <c r="M828" s="59"/>
      <c r="T828" s="80"/>
      <c r="U828" s="80"/>
    </row>
    <row r="829">
      <c r="L829" s="59"/>
      <c r="M829" s="59"/>
      <c r="T829" s="80"/>
      <c r="U829" s="80"/>
    </row>
    <row r="830">
      <c r="L830" s="59"/>
      <c r="M830" s="59"/>
      <c r="T830" s="80"/>
      <c r="U830" s="80"/>
    </row>
    <row r="831">
      <c r="L831" s="59"/>
      <c r="M831" s="59"/>
      <c r="T831" s="80"/>
      <c r="U831" s="80"/>
    </row>
    <row r="832">
      <c r="L832" s="59"/>
      <c r="M832" s="59"/>
      <c r="T832" s="80"/>
      <c r="U832" s="80"/>
    </row>
    <row r="833">
      <c r="L833" s="59"/>
      <c r="M833" s="59"/>
      <c r="T833" s="80"/>
      <c r="U833" s="80"/>
    </row>
    <row r="834">
      <c r="L834" s="59"/>
      <c r="M834" s="59"/>
      <c r="T834" s="80"/>
      <c r="U834" s="80"/>
    </row>
    <row r="835">
      <c r="L835" s="59"/>
      <c r="M835" s="59"/>
      <c r="T835" s="80"/>
      <c r="U835" s="80"/>
    </row>
    <row r="836">
      <c r="L836" s="59"/>
      <c r="M836" s="59"/>
      <c r="T836" s="80"/>
      <c r="U836" s="80"/>
    </row>
    <row r="837">
      <c r="L837" s="59"/>
      <c r="M837" s="59"/>
      <c r="T837" s="80"/>
      <c r="U837" s="80"/>
    </row>
    <row r="838">
      <c r="L838" s="59"/>
      <c r="M838" s="59"/>
      <c r="T838" s="80"/>
      <c r="U838" s="80"/>
    </row>
    <row r="839">
      <c r="L839" s="59"/>
      <c r="M839" s="59"/>
      <c r="T839" s="80"/>
      <c r="U839" s="80"/>
    </row>
    <row r="840">
      <c r="L840" s="59"/>
      <c r="M840" s="59"/>
      <c r="T840" s="80"/>
      <c r="U840" s="80"/>
    </row>
    <row r="841">
      <c r="L841" s="59"/>
      <c r="M841" s="59"/>
      <c r="T841" s="80"/>
      <c r="U841" s="80"/>
    </row>
    <row r="842">
      <c r="L842" s="59"/>
      <c r="M842" s="59"/>
      <c r="T842" s="80"/>
      <c r="U842" s="80"/>
    </row>
    <row r="843">
      <c r="L843" s="59"/>
      <c r="M843" s="59"/>
      <c r="T843" s="80"/>
      <c r="U843" s="80"/>
    </row>
    <row r="844">
      <c r="L844" s="59"/>
      <c r="M844" s="59"/>
      <c r="T844" s="80"/>
      <c r="U844" s="80"/>
    </row>
    <row r="845">
      <c r="L845" s="59"/>
      <c r="M845" s="59"/>
      <c r="T845" s="80"/>
      <c r="U845" s="80"/>
    </row>
    <row r="846">
      <c r="L846" s="59"/>
      <c r="M846" s="59"/>
      <c r="T846" s="80"/>
      <c r="U846" s="80"/>
    </row>
    <row r="847">
      <c r="L847" s="59"/>
      <c r="M847" s="59"/>
      <c r="T847" s="80"/>
      <c r="U847" s="80"/>
    </row>
    <row r="848">
      <c r="L848" s="59"/>
      <c r="M848" s="59"/>
      <c r="T848" s="80"/>
      <c r="U848" s="80"/>
    </row>
    <row r="849">
      <c r="L849" s="59"/>
      <c r="M849" s="59"/>
      <c r="T849" s="80"/>
      <c r="U849" s="80"/>
    </row>
    <row r="850">
      <c r="L850" s="59"/>
      <c r="M850" s="59"/>
      <c r="T850" s="80"/>
      <c r="U850" s="80"/>
    </row>
    <row r="851">
      <c r="L851" s="59"/>
      <c r="M851" s="59"/>
      <c r="T851" s="80"/>
      <c r="U851" s="80"/>
    </row>
    <row r="852">
      <c r="L852" s="59"/>
      <c r="M852" s="59"/>
      <c r="T852" s="80"/>
      <c r="U852" s="80"/>
    </row>
    <row r="853">
      <c r="L853" s="59"/>
      <c r="M853" s="59"/>
      <c r="T853" s="80"/>
      <c r="U853" s="80"/>
    </row>
    <row r="854">
      <c r="L854" s="59"/>
      <c r="M854" s="59"/>
      <c r="T854" s="80"/>
      <c r="U854" s="80"/>
    </row>
    <row r="855">
      <c r="L855" s="59"/>
      <c r="M855" s="59"/>
      <c r="T855" s="80"/>
      <c r="U855" s="80"/>
    </row>
    <row r="856">
      <c r="L856" s="59"/>
      <c r="M856" s="59"/>
      <c r="T856" s="80"/>
      <c r="U856" s="80"/>
    </row>
    <row r="857">
      <c r="L857" s="59"/>
      <c r="M857" s="59"/>
      <c r="T857" s="80"/>
      <c r="U857" s="80"/>
    </row>
    <row r="858">
      <c r="L858" s="59"/>
      <c r="M858" s="59"/>
      <c r="T858" s="80"/>
      <c r="U858" s="80"/>
    </row>
    <row r="859">
      <c r="L859" s="59"/>
      <c r="M859" s="59"/>
      <c r="T859" s="80"/>
      <c r="U859" s="80"/>
    </row>
    <row r="860">
      <c r="L860" s="59"/>
      <c r="M860" s="59"/>
      <c r="T860" s="80"/>
      <c r="U860" s="80"/>
    </row>
    <row r="861">
      <c r="L861" s="59"/>
      <c r="M861" s="59"/>
      <c r="T861" s="80"/>
      <c r="U861" s="80"/>
    </row>
    <row r="862">
      <c r="L862" s="59"/>
      <c r="M862" s="59"/>
      <c r="T862" s="80"/>
      <c r="U862" s="80"/>
    </row>
    <row r="863">
      <c r="L863" s="59"/>
      <c r="M863" s="59"/>
      <c r="T863" s="80"/>
      <c r="U863" s="80"/>
    </row>
    <row r="864">
      <c r="L864" s="59"/>
      <c r="M864" s="59"/>
      <c r="T864" s="80"/>
      <c r="U864" s="80"/>
    </row>
    <row r="865">
      <c r="L865" s="59"/>
      <c r="M865" s="59"/>
      <c r="T865" s="80"/>
      <c r="U865" s="80"/>
    </row>
    <row r="866">
      <c r="L866" s="59"/>
      <c r="M866" s="59"/>
      <c r="T866" s="80"/>
      <c r="U866" s="80"/>
    </row>
    <row r="867">
      <c r="L867" s="59"/>
      <c r="M867" s="59"/>
      <c r="T867" s="80"/>
      <c r="U867" s="80"/>
    </row>
    <row r="868">
      <c r="L868" s="59"/>
      <c r="M868" s="59"/>
      <c r="T868" s="80"/>
      <c r="U868" s="80"/>
    </row>
    <row r="869">
      <c r="L869" s="59"/>
      <c r="M869" s="59"/>
      <c r="T869" s="80"/>
      <c r="U869" s="80"/>
    </row>
    <row r="870">
      <c r="L870" s="59"/>
      <c r="M870" s="59"/>
      <c r="T870" s="80"/>
      <c r="U870" s="80"/>
    </row>
    <row r="871">
      <c r="L871" s="59"/>
      <c r="M871" s="59"/>
      <c r="T871" s="80"/>
      <c r="U871" s="80"/>
    </row>
    <row r="872">
      <c r="L872" s="59"/>
      <c r="M872" s="59"/>
      <c r="T872" s="80"/>
      <c r="U872" s="80"/>
    </row>
    <row r="873">
      <c r="L873" s="59"/>
      <c r="M873" s="59"/>
      <c r="T873" s="80"/>
      <c r="U873" s="80"/>
    </row>
    <row r="874">
      <c r="L874" s="59"/>
      <c r="M874" s="59"/>
      <c r="T874" s="80"/>
      <c r="U874" s="80"/>
    </row>
    <row r="875">
      <c r="L875" s="59"/>
      <c r="M875" s="59"/>
      <c r="T875" s="80"/>
      <c r="U875" s="80"/>
    </row>
    <row r="876">
      <c r="L876" s="59"/>
      <c r="M876" s="59"/>
      <c r="T876" s="80"/>
      <c r="U876" s="80"/>
    </row>
    <row r="877">
      <c r="L877" s="59"/>
      <c r="M877" s="59"/>
      <c r="T877" s="80"/>
      <c r="U877" s="80"/>
    </row>
    <row r="878">
      <c r="L878" s="59"/>
      <c r="M878" s="59"/>
      <c r="T878" s="80"/>
      <c r="U878" s="80"/>
    </row>
    <row r="879">
      <c r="L879" s="59"/>
      <c r="M879" s="59"/>
      <c r="T879" s="80"/>
      <c r="U879" s="80"/>
    </row>
    <row r="880">
      <c r="L880" s="59"/>
      <c r="M880" s="59"/>
      <c r="T880" s="80"/>
      <c r="U880" s="80"/>
    </row>
    <row r="881">
      <c r="L881" s="59"/>
      <c r="M881" s="59"/>
      <c r="T881" s="80"/>
      <c r="U881" s="80"/>
    </row>
    <row r="882">
      <c r="L882" s="59"/>
      <c r="M882" s="59"/>
      <c r="T882" s="80"/>
      <c r="U882" s="80"/>
    </row>
    <row r="883">
      <c r="L883" s="59"/>
      <c r="M883" s="59"/>
      <c r="T883" s="80"/>
      <c r="U883" s="80"/>
    </row>
    <row r="884">
      <c r="L884" s="59"/>
      <c r="M884" s="59"/>
      <c r="T884" s="80"/>
      <c r="U884" s="80"/>
    </row>
    <row r="885">
      <c r="L885" s="59"/>
      <c r="M885" s="59"/>
      <c r="T885" s="80"/>
      <c r="U885" s="80"/>
    </row>
    <row r="886">
      <c r="L886" s="59"/>
      <c r="M886" s="59"/>
      <c r="T886" s="80"/>
      <c r="U886" s="80"/>
    </row>
    <row r="887">
      <c r="L887" s="59"/>
      <c r="M887" s="59"/>
      <c r="T887" s="80"/>
      <c r="U887" s="80"/>
    </row>
    <row r="888">
      <c r="L888" s="59"/>
      <c r="M888" s="59"/>
      <c r="T888" s="80"/>
      <c r="U888" s="80"/>
    </row>
    <row r="889">
      <c r="L889" s="59"/>
      <c r="M889" s="59"/>
      <c r="T889" s="80"/>
      <c r="U889" s="80"/>
    </row>
    <row r="890">
      <c r="L890" s="59"/>
      <c r="M890" s="59"/>
      <c r="T890" s="80"/>
      <c r="U890" s="80"/>
    </row>
    <row r="891">
      <c r="L891" s="59"/>
      <c r="M891" s="59"/>
      <c r="T891" s="80"/>
      <c r="U891" s="80"/>
    </row>
    <row r="892">
      <c r="L892" s="59"/>
      <c r="M892" s="59"/>
      <c r="T892" s="80"/>
      <c r="U892" s="80"/>
    </row>
    <row r="893">
      <c r="L893" s="59"/>
      <c r="M893" s="59"/>
      <c r="T893" s="80"/>
      <c r="U893" s="80"/>
    </row>
    <row r="894">
      <c r="L894" s="59"/>
      <c r="M894" s="59"/>
      <c r="T894" s="80"/>
      <c r="U894" s="80"/>
    </row>
    <row r="895">
      <c r="L895" s="59"/>
      <c r="M895" s="59"/>
      <c r="T895" s="80"/>
      <c r="U895" s="80"/>
    </row>
    <row r="896">
      <c r="L896" s="59"/>
      <c r="M896" s="59"/>
      <c r="T896" s="80"/>
      <c r="U896" s="80"/>
    </row>
    <row r="897">
      <c r="L897" s="59"/>
      <c r="M897" s="59"/>
      <c r="T897" s="80"/>
      <c r="U897" s="80"/>
    </row>
    <row r="898">
      <c r="L898" s="59"/>
      <c r="M898" s="59"/>
      <c r="T898" s="80"/>
      <c r="U898" s="80"/>
    </row>
    <row r="899">
      <c r="L899" s="59"/>
      <c r="M899" s="59"/>
      <c r="T899" s="80"/>
      <c r="U899" s="80"/>
    </row>
    <row r="900">
      <c r="L900" s="59"/>
      <c r="M900" s="59"/>
      <c r="T900" s="80"/>
      <c r="U900" s="80"/>
    </row>
    <row r="901">
      <c r="L901" s="59"/>
      <c r="M901" s="59"/>
      <c r="T901" s="80"/>
      <c r="U901" s="80"/>
    </row>
    <row r="902">
      <c r="L902" s="59"/>
      <c r="M902" s="59"/>
      <c r="T902" s="80"/>
      <c r="U902" s="80"/>
    </row>
    <row r="903">
      <c r="L903" s="59"/>
      <c r="M903" s="59"/>
      <c r="T903" s="80"/>
      <c r="U903" s="80"/>
    </row>
    <row r="904">
      <c r="L904" s="59"/>
      <c r="M904" s="59"/>
      <c r="T904" s="80"/>
      <c r="U904" s="80"/>
    </row>
    <row r="905">
      <c r="L905" s="59"/>
      <c r="M905" s="59"/>
      <c r="T905" s="80"/>
      <c r="U905" s="80"/>
    </row>
    <row r="906">
      <c r="L906" s="59"/>
      <c r="M906" s="59"/>
      <c r="T906" s="80"/>
      <c r="U906" s="80"/>
    </row>
    <row r="907">
      <c r="L907" s="59"/>
      <c r="M907" s="59"/>
      <c r="T907" s="80"/>
      <c r="U907" s="80"/>
    </row>
    <row r="908">
      <c r="L908" s="59"/>
      <c r="M908" s="59"/>
      <c r="T908" s="80"/>
      <c r="U908" s="80"/>
    </row>
    <row r="909">
      <c r="L909" s="59"/>
      <c r="M909" s="59"/>
      <c r="T909" s="80"/>
      <c r="U909" s="80"/>
    </row>
    <row r="910">
      <c r="L910" s="59"/>
      <c r="M910" s="59"/>
      <c r="T910" s="80"/>
      <c r="U910" s="80"/>
    </row>
    <row r="911">
      <c r="L911" s="59"/>
      <c r="M911" s="59"/>
      <c r="T911" s="80"/>
      <c r="U911" s="80"/>
    </row>
    <row r="912">
      <c r="L912" s="59"/>
      <c r="M912" s="59"/>
      <c r="T912" s="80"/>
      <c r="U912" s="80"/>
    </row>
    <row r="913">
      <c r="L913" s="59"/>
      <c r="M913" s="59"/>
      <c r="T913" s="80"/>
      <c r="U913" s="80"/>
    </row>
    <row r="914">
      <c r="L914" s="59"/>
      <c r="M914" s="59"/>
      <c r="T914" s="80"/>
      <c r="U914" s="80"/>
    </row>
    <row r="915">
      <c r="L915" s="59"/>
      <c r="M915" s="59"/>
      <c r="T915" s="80"/>
      <c r="U915" s="80"/>
    </row>
    <row r="916">
      <c r="L916" s="59"/>
      <c r="M916" s="59"/>
      <c r="T916" s="80"/>
      <c r="U916" s="80"/>
    </row>
    <row r="917">
      <c r="L917" s="59"/>
      <c r="M917" s="59"/>
      <c r="T917" s="80"/>
      <c r="U917" s="80"/>
    </row>
    <row r="918">
      <c r="L918" s="59"/>
      <c r="M918" s="59"/>
      <c r="T918" s="80"/>
      <c r="U918" s="80"/>
    </row>
    <row r="919">
      <c r="L919" s="59"/>
      <c r="M919" s="59"/>
      <c r="T919" s="80"/>
      <c r="U919" s="80"/>
    </row>
    <row r="920">
      <c r="L920" s="59"/>
      <c r="M920" s="59"/>
      <c r="T920" s="80"/>
      <c r="U920" s="80"/>
    </row>
    <row r="921">
      <c r="L921" s="59"/>
      <c r="M921" s="59"/>
      <c r="T921" s="80"/>
      <c r="U921" s="80"/>
    </row>
    <row r="922">
      <c r="L922" s="59"/>
      <c r="M922" s="59"/>
      <c r="T922" s="80"/>
      <c r="U922" s="80"/>
    </row>
    <row r="923">
      <c r="L923" s="59"/>
      <c r="M923" s="59"/>
      <c r="T923" s="80"/>
      <c r="U923" s="80"/>
    </row>
    <row r="924">
      <c r="L924" s="59"/>
      <c r="M924" s="59"/>
      <c r="T924" s="80"/>
      <c r="U924" s="80"/>
    </row>
    <row r="925">
      <c r="L925" s="59"/>
      <c r="M925" s="59"/>
      <c r="T925" s="80"/>
      <c r="U925" s="80"/>
    </row>
    <row r="926">
      <c r="L926" s="59"/>
      <c r="M926" s="59"/>
      <c r="T926" s="80"/>
      <c r="U926" s="80"/>
    </row>
    <row r="927">
      <c r="L927" s="59"/>
      <c r="M927" s="59"/>
      <c r="T927" s="80"/>
      <c r="U927" s="80"/>
    </row>
    <row r="928">
      <c r="L928" s="59"/>
      <c r="M928" s="59"/>
      <c r="T928" s="80"/>
      <c r="U928" s="80"/>
    </row>
    <row r="929">
      <c r="L929" s="59"/>
      <c r="M929" s="59"/>
      <c r="T929" s="80"/>
      <c r="U929" s="80"/>
    </row>
    <row r="930">
      <c r="L930" s="59"/>
      <c r="M930" s="59"/>
      <c r="T930" s="80"/>
      <c r="U930" s="80"/>
    </row>
    <row r="931">
      <c r="L931" s="59"/>
      <c r="M931" s="59"/>
      <c r="T931" s="80"/>
      <c r="U931" s="80"/>
    </row>
    <row r="932">
      <c r="L932" s="59"/>
      <c r="M932" s="59"/>
      <c r="T932" s="80"/>
      <c r="U932" s="80"/>
    </row>
    <row r="933">
      <c r="L933" s="59"/>
      <c r="M933" s="59"/>
      <c r="T933" s="80"/>
      <c r="U933" s="80"/>
    </row>
    <row r="934">
      <c r="L934" s="59"/>
      <c r="M934" s="59"/>
      <c r="T934" s="80"/>
      <c r="U934" s="80"/>
    </row>
    <row r="935">
      <c r="L935" s="59"/>
      <c r="M935" s="59"/>
      <c r="T935" s="80"/>
      <c r="U935" s="80"/>
    </row>
    <row r="936">
      <c r="L936" s="59"/>
      <c r="M936" s="59"/>
      <c r="T936" s="80"/>
      <c r="U936" s="80"/>
    </row>
    <row r="937">
      <c r="L937" s="59"/>
      <c r="M937" s="59"/>
      <c r="T937" s="80"/>
      <c r="U937" s="80"/>
    </row>
    <row r="938">
      <c r="L938" s="59"/>
      <c r="M938" s="59"/>
      <c r="T938" s="80"/>
      <c r="U938" s="80"/>
    </row>
    <row r="939">
      <c r="L939" s="59"/>
      <c r="M939" s="59"/>
      <c r="T939" s="80"/>
      <c r="U939" s="80"/>
    </row>
    <row r="940">
      <c r="L940" s="59"/>
      <c r="M940" s="59"/>
      <c r="T940" s="80"/>
      <c r="U940" s="80"/>
    </row>
    <row r="941">
      <c r="L941" s="59"/>
      <c r="M941" s="59"/>
      <c r="T941" s="80"/>
      <c r="U941" s="80"/>
    </row>
    <row r="942">
      <c r="L942" s="59"/>
      <c r="M942" s="59"/>
      <c r="T942" s="80"/>
      <c r="U942" s="80"/>
    </row>
    <row r="943">
      <c r="L943" s="59"/>
      <c r="M943" s="59"/>
      <c r="T943" s="80"/>
      <c r="U943" s="80"/>
    </row>
    <row r="944">
      <c r="L944" s="59"/>
      <c r="M944" s="59"/>
      <c r="T944" s="80"/>
      <c r="U944" s="80"/>
    </row>
    <row r="945">
      <c r="L945" s="59"/>
      <c r="M945" s="59"/>
      <c r="T945" s="80"/>
      <c r="U945" s="80"/>
    </row>
    <row r="946">
      <c r="L946" s="59"/>
      <c r="M946" s="59"/>
      <c r="T946" s="80"/>
      <c r="U946" s="80"/>
    </row>
    <row r="947">
      <c r="L947" s="59"/>
      <c r="M947" s="59"/>
      <c r="T947" s="80"/>
      <c r="U947" s="80"/>
    </row>
    <row r="948">
      <c r="L948" s="59"/>
      <c r="M948" s="59"/>
      <c r="T948" s="80"/>
      <c r="U948" s="80"/>
    </row>
    <row r="949">
      <c r="L949" s="59"/>
      <c r="M949" s="59"/>
      <c r="T949" s="80"/>
      <c r="U949" s="80"/>
    </row>
    <row r="950">
      <c r="L950" s="59"/>
      <c r="M950" s="59"/>
      <c r="T950" s="80"/>
      <c r="U950" s="80"/>
    </row>
    <row r="951">
      <c r="L951" s="59"/>
      <c r="M951" s="59"/>
      <c r="T951" s="80"/>
      <c r="U951" s="80"/>
    </row>
    <row r="952">
      <c r="L952" s="59"/>
      <c r="M952" s="59"/>
      <c r="T952" s="80"/>
      <c r="U952" s="80"/>
    </row>
    <row r="953">
      <c r="L953" s="59"/>
      <c r="M953" s="59"/>
      <c r="T953" s="80"/>
      <c r="U953" s="80"/>
    </row>
    <row r="954">
      <c r="L954" s="59"/>
      <c r="M954" s="59"/>
      <c r="T954" s="80"/>
      <c r="U954" s="80"/>
    </row>
    <row r="955">
      <c r="L955" s="59"/>
      <c r="M955" s="59"/>
      <c r="T955" s="80"/>
      <c r="U955" s="80"/>
    </row>
    <row r="956">
      <c r="L956" s="59"/>
      <c r="M956" s="59"/>
      <c r="T956" s="80"/>
      <c r="U956" s="80"/>
    </row>
    <row r="957">
      <c r="L957" s="59"/>
      <c r="M957" s="59"/>
      <c r="T957" s="80"/>
      <c r="U957" s="80"/>
    </row>
    <row r="958">
      <c r="L958" s="59"/>
      <c r="M958" s="59"/>
      <c r="T958" s="80"/>
      <c r="U958" s="80"/>
    </row>
    <row r="959">
      <c r="L959" s="59"/>
      <c r="M959" s="59"/>
      <c r="T959" s="80"/>
      <c r="U959" s="80"/>
    </row>
    <row r="960">
      <c r="L960" s="59"/>
      <c r="M960" s="59"/>
      <c r="T960" s="80"/>
      <c r="U960" s="80"/>
    </row>
    <row r="961">
      <c r="L961" s="59"/>
      <c r="M961" s="59"/>
      <c r="T961" s="80"/>
      <c r="U961" s="80"/>
    </row>
    <row r="962">
      <c r="L962" s="59"/>
      <c r="M962" s="59"/>
      <c r="T962" s="80"/>
      <c r="U962" s="80"/>
    </row>
    <row r="963">
      <c r="L963" s="59"/>
      <c r="M963" s="59"/>
      <c r="T963" s="80"/>
      <c r="U963" s="80"/>
    </row>
    <row r="964">
      <c r="L964" s="59"/>
      <c r="M964" s="59"/>
      <c r="T964" s="80"/>
      <c r="U964" s="80"/>
    </row>
    <row r="965">
      <c r="L965" s="59"/>
      <c r="M965" s="59"/>
      <c r="T965" s="80"/>
      <c r="U965" s="80"/>
    </row>
    <row r="966">
      <c r="L966" s="59"/>
      <c r="M966" s="59"/>
      <c r="T966" s="80"/>
      <c r="U966" s="80"/>
    </row>
    <row r="967">
      <c r="L967" s="59"/>
      <c r="M967" s="59"/>
      <c r="T967" s="80"/>
      <c r="U967" s="80"/>
    </row>
    <row r="968">
      <c r="L968" s="59"/>
      <c r="M968" s="59"/>
      <c r="T968" s="80"/>
      <c r="U968" s="80"/>
    </row>
    <row r="969">
      <c r="L969" s="59"/>
      <c r="M969" s="59"/>
      <c r="T969" s="80"/>
      <c r="U969" s="80"/>
    </row>
    <row r="970">
      <c r="L970" s="59"/>
      <c r="M970" s="59"/>
      <c r="T970" s="80"/>
      <c r="U970" s="80"/>
    </row>
    <row r="971">
      <c r="L971" s="59"/>
      <c r="M971" s="59"/>
      <c r="T971" s="80"/>
      <c r="U971" s="80"/>
    </row>
    <row r="972">
      <c r="L972" s="59"/>
      <c r="M972" s="59"/>
      <c r="T972" s="80"/>
      <c r="U972" s="80"/>
    </row>
    <row r="973">
      <c r="L973" s="59"/>
      <c r="M973" s="59"/>
      <c r="T973" s="80"/>
      <c r="U973" s="80"/>
    </row>
    <row r="974">
      <c r="L974" s="59"/>
      <c r="M974" s="59"/>
      <c r="T974" s="80"/>
      <c r="U974" s="80"/>
    </row>
    <row r="975">
      <c r="L975" s="59"/>
      <c r="M975" s="59"/>
      <c r="T975" s="80"/>
      <c r="U975" s="80"/>
    </row>
    <row r="976">
      <c r="L976" s="59"/>
      <c r="M976" s="59"/>
      <c r="T976" s="80"/>
      <c r="U976" s="80"/>
    </row>
    <row r="977">
      <c r="L977" s="59"/>
      <c r="M977" s="59"/>
      <c r="T977" s="80"/>
      <c r="U977" s="80"/>
    </row>
    <row r="978">
      <c r="L978" s="59"/>
      <c r="M978" s="59"/>
      <c r="T978" s="80"/>
      <c r="U978" s="80"/>
    </row>
    <row r="979">
      <c r="L979" s="59"/>
      <c r="M979" s="59"/>
      <c r="T979" s="80"/>
      <c r="U979" s="80"/>
    </row>
    <row r="980">
      <c r="L980" s="59"/>
      <c r="M980" s="59"/>
      <c r="T980" s="80"/>
      <c r="U980" s="80"/>
    </row>
    <row r="981">
      <c r="L981" s="59"/>
      <c r="M981" s="59"/>
      <c r="T981" s="80"/>
      <c r="U981" s="80"/>
    </row>
    <row r="982">
      <c r="L982" s="59"/>
      <c r="M982" s="59"/>
      <c r="T982" s="80"/>
      <c r="U982" s="80"/>
    </row>
    <row r="983">
      <c r="L983" s="59"/>
      <c r="M983" s="59"/>
      <c r="T983" s="80"/>
      <c r="U983" s="80"/>
    </row>
    <row r="984">
      <c r="L984" s="59"/>
      <c r="M984" s="59"/>
      <c r="T984" s="80"/>
      <c r="U984" s="80"/>
    </row>
    <row r="985">
      <c r="L985" s="59"/>
      <c r="M985" s="59"/>
      <c r="T985" s="80"/>
      <c r="U985" s="80"/>
    </row>
    <row r="986">
      <c r="L986" s="59"/>
      <c r="M986" s="59"/>
      <c r="T986" s="80"/>
      <c r="U986" s="80"/>
    </row>
    <row r="987">
      <c r="L987" s="59"/>
      <c r="M987" s="59"/>
      <c r="T987" s="80"/>
      <c r="U987" s="80"/>
    </row>
    <row r="988">
      <c r="L988" s="59"/>
      <c r="M988" s="59"/>
      <c r="T988" s="80"/>
      <c r="U988" s="80"/>
    </row>
    <row r="989">
      <c r="L989" s="59"/>
      <c r="M989" s="59"/>
      <c r="T989" s="80"/>
      <c r="U989" s="80"/>
    </row>
    <row r="990">
      <c r="L990" s="59"/>
      <c r="M990" s="59"/>
      <c r="T990" s="80"/>
      <c r="U990" s="80"/>
    </row>
    <row r="991">
      <c r="L991" s="59"/>
      <c r="M991" s="59"/>
      <c r="T991" s="80"/>
      <c r="U991" s="80"/>
    </row>
    <row r="992">
      <c r="L992" s="59"/>
      <c r="M992" s="59"/>
      <c r="T992" s="80"/>
      <c r="U992" s="80"/>
    </row>
    <row r="993">
      <c r="L993" s="59"/>
      <c r="M993" s="59"/>
      <c r="T993" s="80"/>
      <c r="U993" s="80"/>
    </row>
    <row r="994">
      <c r="L994" s="59"/>
      <c r="M994" s="59"/>
      <c r="T994" s="80"/>
      <c r="U994" s="80"/>
    </row>
    <row r="995">
      <c r="L995" s="59"/>
      <c r="M995" s="59"/>
      <c r="T995" s="80"/>
      <c r="U995" s="80"/>
    </row>
    <row r="996">
      <c r="L996" s="59"/>
      <c r="M996" s="59"/>
      <c r="T996" s="80"/>
      <c r="U996" s="80"/>
    </row>
    <row r="997">
      <c r="L997" s="59"/>
      <c r="M997" s="59"/>
      <c r="T997" s="80"/>
      <c r="U997" s="80"/>
    </row>
    <row r="998">
      <c r="L998" s="59"/>
      <c r="M998" s="59"/>
      <c r="T998" s="80"/>
      <c r="U998" s="80"/>
    </row>
    <row r="999">
      <c r="L999" s="59"/>
      <c r="M999" s="59"/>
      <c r="T999" s="80"/>
      <c r="U999" s="80"/>
    </row>
    <row r="1000">
      <c r="L1000" s="59"/>
      <c r="M1000" s="59"/>
      <c r="T1000" s="80"/>
      <c r="U1000" s="80"/>
    </row>
    <row r="1001">
      <c r="L1001" s="59"/>
      <c r="M1001" s="59"/>
      <c r="T1001" s="80"/>
      <c r="U1001" s="80"/>
    </row>
    <row r="1002">
      <c r="L1002" s="59"/>
      <c r="M1002" s="59"/>
      <c r="T1002" s="80"/>
      <c r="U1002" s="80"/>
    </row>
    <row r="1003">
      <c r="L1003" s="59"/>
      <c r="M1003" s="59"/>
      <c r="T1003" s="80"/>
      <c r="U1003" s="80"/>
    </row>
    <row r="1004">
      <c r="L1004" s="59"/>
      <c r="M1004" s="59"/>
      <c r="T1004" s="80"/>
      <c r="U1004" s="80"/>
    </row>
    <row r="1005">
      <c r="L1005" s="59"/>
      <c r="M1005" s="59"/>
      <c r="T1005" s="80"/>
      <c r="U1005" s="80"/>
    </row>
  </sheetData>
  <dataValidations>
    <dataValidation type="list" allowBlank="1" showErrorMessage="1" sqref="A237:A238 A242:A243 A247:A248 A252:A253 A257:A258 A262:A263 A267:A268 A272:A273 A277:A278 A282:A283 A287:A288 A292:A293 A297:A298 A302:A303 A307:A308 A312:A313 A317:A318 A322:A323 A327:A328 A332:A333 A337:A338 A342:A343 A347:A348 A352:A353 A357:A358 A362:A363 A367:A368 A372:A373 A377:A378 A382:A383 A387:A388 A392:A393 A397:A398 A402:A403 A407:A408 A412:A413 A417:A418 A422:A423 A427:A428 A432:A433 A437:A438 A442:A443 A447:A448 A452:A453 A457:A458 A462:A463 A467:A468 A472:A473 A477:A478 A482:A483 A487:A488 A492:A493">
      <formula1>'NBA Player List'!$N$92:$N$154</formula1>
    </dataValidation>
    <dataValidation type="list" allowBlank="1" showErrorMessage="1" sqref="A239:A241 A244:A246 A249:A251 A254:A256 A259:A261 A264:A266 A269:A271 A274:A276 A279:A281 A284:A286 A289:A291 A294:A296 A299:A301 A304:A306 A309:A311 A314:A316 A319:A321 A324:A326 A329:A331 A334:A336 A339:A341 A344:A346 A349:A351 A354:A356 A359:A361 A364:A366 A369:A371 A374:A376 A379:A381 A384:A386 A389:A391 A394:A396 A399:A401 A404:A406 A409:A411 A414:A416 A419:A421 A424:A426 A429:A431 A434:A436 A439:A441 A444:A446 A449:A451 A454:A456 A459:A461 A464:A466 A469:A471 A474:A476 A479:A481 A484:A486 A489:A491 A494:A496">
      <formula1>'NBA Player List'!$K$92:$K$156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93"/>
      <c r="C1" s="94" t="s">
        <v>202</v>
      </c>
      <c r="D1" s="95"/>
      <c r="E1" s="94" t="s">
        <v>203</v>
      </c>
      <c r="F1" s="95"/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95"/>
      <c r="C2" s="94" t="s">
        <v>205</v>
      </c>
      <c r="D2" s="95"/>
      <c r="E2" s="94" t="s">
        <v>4</v>
      </c>
      <c r="F2" s="95"/>
      <c r="G2" s="96"/>
      <c r="H2" s="96"/>
      <c r="I2" s="96"/>
      <c r="K2" s="34" t="s">
        <v>10</v>
      </c>
      <c r="L2" s="97"/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97"/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0</v>
      </c>
      <c r="K4" s="34" t="s">
        <v>12</v>
      </c>
      <c r="L4" s="97"/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26"/>
      <c r="M5" s="34" t="s">
        <v>206</v>
      </c>
    </row>
    <row r="6">
      <c r="A6" s="76" t="s">
        <v>215</v>
      </c>
      <c r="B6" s="21"/>
      <c r="C6" s="60" t="str">
        <f>IF($B6="","",SUMIFS(Raw_Stats!$C:$C,Raw_Stats!$A:$A,"&gt;="&amp;$B$1,Raw_Stats!$A:$A,"&lt;="&amp;$B$2,Raw_Stats!$B:$B,$B6))</f>
        <v/>
      </c>
      <c r="D6" s="60" t="str">
        <f>IF($B6="","",SUMIFS(Raw_Stats!$D:$D,Raw_Stats!$A:$A,"&gt;="&amp;$B$1,Raw_Stats!$A:$A,"&lt;="&amp;$B$2,Raw_Stats!$B:$B,$B6))</f>
        <v/>
      </c>
      <c r="E6" s="60" t="str">
        <f>IF($B6="","",SUMIFS(Raw_Stats!$E:$E,Raw_Stats!$A:$A,"&gt;="&amp;$B$1,Raw_Stats!$A:$A,"&lt;="&amp;$B$2,Raw_Stats!$B:$B,$B6))</f>
        <v/>
      </c>
      <c r="F6" s="60" t="str">
        <f>IF($B6="","",SUMIFS(Raw_Stats!$F:$F,Raw_Stats!$A:$A,"&gt;="&amp;$B$1,Raw_Stats!$A:$A,"&lt;="&amp;$B$2,Raw_Stats!$B:$B,$B6))</f>
        <v/>
      </c>
      <c r="G6" s="60" t="str">
        <f>IF($B6="","",SUMIFS(Raw_Stats!$G:$G,Raw_Stats!$A:$A,"&gt;="&amp;$B$1,Raw_Stats!$A:$A,"&lt;="&amp;$B$2,Raw_Stats!$B:$B,$B6))</f>
        <v/>
      </c>
      <c r="H6" s="71" t="str">
        <f>IF($B6="","",SUMIFS(Raw_Stats!$H:$H,Raw_Stats!$A:$A,"&gt;="&amp;$B$1,Raw_Stats!$A:$A,"&lt;="&amp;$B$2,Raw_Stats!$B:$B,$B6))</f>
        <v/>
      </c>
      <c r="I6" s="72">
        <f t="shared" ref="I6:I10" si="1">sum(C6+1.2*D6+1.5*E6+2*F6+2*G6)-H6</f>
        <v>0</v>
      </c>
    </row>
    <row r="7">
      <c r="A7" s="76" t="s">
        <v>215</v>
      </c>
      <c r="B7" s="76"/>
      <c r="C7" s="60" t="str">
        <f>IF($B7="","",SUMIFS(Raw_Stats!$C:$C,Raw_Stats!$A:$A,"&gt;="&amp;$B$1,Raw_Stats!$A:$A,"&lt;="&amp;$B$2,Raw_Stats!$B:$B,$B7))</f>
        <v/>
      </c>
      <c r="D7" s="60" t="str">
        <f>IF($B7="","",SUMIFS(Raw_Stats!$D:$D,Raw_Stats!$A:$A,"&gt;="&amp;$B$1,Raw_Stats!$A:$A,"&lt;="&amp;$B$2,Raw_Stats!$B:$B,$B7))</f>
        <v/>
      </c>
      <c r="E7" s="60" t="str">
        <f>IF($B7="","",SUMIFS(Raw_Stats!$E:$E,Raw_Stats!$A:$A,"&gt;="&amp;$B$1,Raw_Stats!$A:$A,"&lt;="&amp;$B$2,Raw_Stats!$B:$B,$B7))</f>
        <v/>
      </c>
      <c r="F7" s="60" t="str">
        <f>IF($B7="","",SUMIFS(Raw_Stats!$F:$F,Raw_Stats!$A:$A,"&gt;="&amp;$B$1,Raw_Stats!$A:$A,"&lt;="&amp;$B$2,Raw_Stats!$B:$B,$B7))</f>
        <v/>
      </c>
      <c r="G7" s="60" t="str">
        <f>IF($B7="","",SUMIFS(Raw_Stats!$G:$G,Raw_Stats!$A:$A,"&gt;="&amp;$B$1,Raw_Stats!$A:$A,"&lt;="&amp;$B$2,Raw_Stats!$B:$B,$B7))</f>
        <v/>
      </c>
      <c r="H7" s="71" t="str">
        <f>IF($B7="","",SUMIFS(Raw_Stats!$H:$H,Raw_Stats!$A:$A,"&gt;="&amp;$B$1,Raw_Stats!$A:$A,"&lt;="&amp;$B$2,Raw_Stats!$B:$B,$B7))</f>
        <v/>
      </c>
      <c r="I7" s="72">
        <f t="shared" si="1"/>
        <v>0</v>
      </c>
    </row>
    <row r="8">
      <c r="A8" s="76" t="s">
        <v>216</v>
      </c>
      <c r="B8" s="70"/>
      <c r="C8" s="60" t="str">
        <f>IF($B8="","",SUMIFS(Raw_Stats!$C:$C,Raw_Stats!$A:$A,"&gt;="&amp;$B$1,Raw_Stats!$A:$A,"&lt;="&amp;$B$2,Raw_Stats!$B:$B,$B8))</f>
        <v/>
      </c>
      <c r="D8" s="60" t="str">
        <f>IF($B8="","",SUMIFS(Raw_Stats!$D:$D,Raw_Stats!$A:$A,"&gt;="&amp;$B$1,Raw_Stats!$A:$A,"&lt;="&amp;$B$2,Raw_Stats!$B:$B,$B8))</f>
        <v/>
      </c>
      <c r="E8" s="60" t="str">
        <f>IF($B8="","",SUMIFS(Raw_Stats!$E:$E,Raw_Stats!$A:$A,"&gt;="&amp;$B$1,Raw_Stats!$A:$A,"&lt;="&amp;$B$2,Raw_Stats!$B:$B,$B8))</f>
        <v/>
      </c>
      <c r="F8" s="60" t="str">
        <f>IF($B8="","",SUMIFS(Raw_Stats!$F:$F,Raw_Stats!$A:$A,"&gt;="&amp;$B$1,Raw_Stats!$A:$A,"&lt;="&amp;$B$2,Raw_Stats!$B:$B,$B8))</f>
        <v/>
      </c>
      <c r="G8" s="60" t="str">
        <f>IF($B8="","",SUMIFS(Raw_Stats!$G:$G,Raw_Stats!$A:$A,"&gt;="&amp;$B$1,Raw_Stats!$A:$A,"&lt;="&amp;$B$2,Raw_Stats!$B:$B,$B8))</f>
        <v/>
      </c>
      <c r="H8" s="71" t="str">
        <f>IF($B8="","",SUMIFS(Raw_Stats!$H:$H,Raw_Stats!$A:$A,"&gt;="&amp;$B$1,Raw_Stats!$A:$A,"&lt;="&amp;$B$2,Raw_Stats!$B:$B,$B8))</f>
        <v/>
      </c>
      <c r="I8" s="72">
        <f t="shared" si="1"/>
        <v>0</v>
      </c>
    </row>
    <row r="9">
      <c r="A9" s="76" t="s">
        <v>216</v>
      </c>
      <c r="B9" s="76"/>
      <c r="C9" s="60" t="str">
        <f>IF($B9="","",SUMIFS(Raw_Stats!$C:$C,Raw_Stats!$A:$A,"&gt;="&amp;$B$1,Raw_Stats!$A:$A,"&lt;="&amp;$B$2,Raw_Stats!$B:$B,$B9))</f>
        <v/>
      </c>
      <c r="D9" s="60" t="str">
        <f>IF($B9="","",SUMIFS(Raw_Stats!$D:$D,Raw_Stats!$A:$A,"&gt;="&amp;$B$1,Raw_Stats!$A:$A,"&lt;="&amp;$B$2,Raw_Stats!$B:$B,$B9))</f>
        <v/>
      </c>
      <c r="E9" s="60" t="str">
        <f>IF($B9="","",SUMIFS(Raw_Stats!$E:$E,Raw_Stats!$A:$A,"&gt;="&amp;$B$1,Raw_Stats!$A:$A,"&lt;="&amp;$B$2,Raw_Stats!$B:$B,$B9))</f>
        <v/>
      </c>
      <c r="F9" s="60" t="str">
        <f>IF($B9="","",SUMIFS(Raw_Stats!$F:$F,Raw_Stats!$A:$A,"&gt;="&amp;$B$1,Raw_Stats!$A:$A,"&lt;="&amp;$B$2,Raw_Stats!$B:$B,$B9))</f>
        <v/>
      </c>
      <c r="G9" s="60" t="str">
        <f>IF($B9="","",SUMIFS(Raw_Stats!$G:$G,Raw_Stats!$A:$A,"&gt;="&amp;$B$1,Raw_Stats!$A:$A,"&lt;="&amp;$B$2,Raw_Stats!$B:$B,$B9))</f>
        <v/>
      </c>
      <c r="H9" s="71" t="str">
        <f>IF($B9="","",SUMIFS(Raw_Stats!$H:$H,Raw_Stats!$A:$A,"&gt;="&amp;$B$1,Raw_Stats!$A:$A,"&lt;="&amp;$B$2,Raw_Stats!$B:$B,$B9))</f>
        <v/>
      </c>
      <c r="I9" s="72">
        <f t="shared" si="1"/>
        <v>0</v>
      </c>
    </row>
    <row r="10">
      <c r="A10" s="76" t="s">
        <v>216</v>
      </c>
      <c r="B10" s="21"/>
      <c r="C10" s="60" t="str">
        <f>IF($B10="","",SUMIFS(Raw_Stats!$C:$C,Raw_Stats!$A:$A,"&gt;="&amp;$B$1,Raw_Stats!$A:$A,"&lt;="&amp;$B$2,Raw_Stats!$B:$B,$B10))</f>
        <v/>
      </c>
      <c r="D10" s="60" t="str">
        <f>IF($B10="","",SUMIFS(Raw_Stats!$D:$D,Raw_Stats!$A:$A,"&gt;="&amp;$B$1,Raw_Stats!$A:$A,"&lt;="&amp;$B$2,Raw_Stats!$B:$B,$B10))</f>
        <v/>
      </c>
      <c r="E10" s="60" t="str">
        <f>IF($B10="","",SUMIFS(Raw_Stats!$E:$E,Raw_Stats!$A:$A,"&gt;="&amp;$B$1,Raw_Stats!$A:$A,"&lt;="&amp;$B$2,Raw_Stats!$B:$B,$B10))</f>
        <v/>
      </c>
      <c r="F10" s="60" t="str">
        <f>IF($B10="","",SUMIFS(Raw_Stats!$F:$F,Raw_Stats!$A:$A,"&gt;="&amp;$B$1,Raw_Stats!$A:$A,"&lt;="&amp;$B$2,Raw_Stats!$B:$B,$B10))</f>
        <v/>
      </c>
      <c r="G10" s="60" t="str">
        <f>IF($B10="","",SUMIFS(Raw_Stats!$G:$G,Raw_Stats!$A:$A,"&gt;="&amp;$B$1,Raw_Stats!$A:$A,"&lt;="&amp;$B$2,Raw_Stats!$B:$B,$B10))</f>
        <v/>
      </c>
      <c r="H10" s="71" t="str">
        <f>IF($B10="","",SUMIFS(Raw_Stats!$H:$H,Raw_Stats!$A:$A,"&gt;="&amp;$B$1,Raw_Stats!$A:$A,"&lt;="&amp;$B$2,Raw_Stats!$B:$B,$B10))</f>
        <v/>
      </c>
      <c r="I10" s="72">
        <f t="shared" si="1"/>
        <v>0</v>
      </c>
    </row>
    <row r="11">
      <c r="A11" s="96"/>
      <c r="B11" s="102" t="s">
        <v>217</v>
      </c>
      <c r="C11" s="103">
        <f>SUM(C6:C10)</f>
        <v>0</v>
      </c>
      <c r="D11" s="103">
        <f>SUM(D6:D10)*1.2</f>
        <v>0</v>
      </c>
      <c r="E11" s="103">
        <f>SUM(E6:E10)*1.5</f>
        <v>0</v>
      </c>
      <c r="F11" s="103">
        <f t="shared" ref="F11:G11" si="2">SUM(F6:F10)*2</f>
        <v>0</v>
      </c>
      <c r="G11" s="103">
        <f t="shared" si="2"/>
        <v>0</v>
      </c>
      <c r="H11" s="104">
        <f>SUM(H6:H10) *-1</f>
        <v>0</v>
      </c>
      <c r="I11" s="105">
        <f>SUM(C11:H11)</f>
        <v>0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0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/>
      <c r="C15" s="60" t="str">
        <f>IF($B15="","",SUMIFS(Raw_Stats!$C:$C,Raw_Stats!$A:$A,"&gt;="&amp;$B$1,Raw_Stats!$A:$A,"&lt;="&amp;$B$2,Raw_Stats!$B:$B,$B15))</f>
        <v/>
      </c>
      <c r="D15" s="60" t="str">
        <f>IF($B15="","",SUMIFS(Raw_Stats!$D:$D,Raw_Stats!$A:$A,"&gt;="&amp;$B$1,Raw_Stats!$A:$A,"&lt;="&amp;$B$2,Raw_Stats!$B:$B,$B15))</f>
        <v/>
      </c>
      <c r="E15" s="60" t="str">
        <f>IF($B15="","",SUMIFS(Raw_Stats!$E:$E,Raw_Stats!$A:$A,"&gt;="&amp;$B$1,Raw_Stats!$A:$A,"&lt;="&amp;$B$2,Raw_Stats!$B:$B,$B15))</f>
        <v/>
      </c>
      <c r="F15" s="60" t="str">
        <f>IF($B15="","",SUMIFS(Raw_Stats!$F:$F,Raw_Stats!$A:$A,"&gt;="&amp;$B$1,Raw_Stats!$A:$A,"&lt;="&amp;$B$2,Raw_Stats!$B:$B,$B15))</f>
        <v/>
      </c>
      <c r="G15" s="60" t="str">
        <f>IF($B15="","",SUMIFS(Raw_Stats!$G:$G,Raw_Stats!$A:$A,"&gt;="&amp;$B$1,Raw_Stats!$A:$A,"&lt;="&amp;$B$2,Raw_Stats!$B:$B,$B15))</f>
        <v/>
      </c>
      <c r="H15" s="71" t="str">
        <f>IF($B15="","",SUMIFS(Raw_Stats!$H:$H,Raw_Stats!$A:$A,"&gt;="&amp;$B$1,Raw_Stats!$A:$A,"&lt;="&amp;$B$2,Raw_Stats!$B:$B,$B15))</f>
        <v/>
      </c>
      <c r="I15" s="73">
        <f t="shared" ref="I15:I19" si="3">sum(C15+1.2*D15+1.5*E15+2*F15+2*G15)-H15</f>
        <v>0</v>
      </c>
    </row>
    <row r="16">
      <c r="A16" s="76" t="s">
        <v>215</v>
      </c>
      <c r="B16" s="76"/>
      <c r="C16" s="60" t="str">
        <f>IF($B16="","",SUMIFS(Raw_Stats!$C:$C,Raw_Stats!$A:$A,"&gt;="&amp;$B$1,Raw_Stats!$A:$A,"&lt;="&amp;$B$2,Raw_Stats!$B:$B,$B16))</f>
        <v/>
      </c>
      <c r="D16" s="60" t="str">
        <f>IF($B16="","",SUMIFS(Raw_Stats!$D:$D,Raw_Stats!$A:$A,"&gt;="&amp;$B$1,Raw_Stats!$A:$A,"&lt;="&amp;$B$2,Raw_Stats!$B:$B,$B16))</f>
        <v/>
      </c>
      <c r="E16" s="60" t="str">
        <f>IF($B16="","",SUMIFS(Raw_Stats!$E:$E,Raw_Stats!$A:$A,"&gt;="&amp;$B$1,Raw_Stats!$A:$A,"&lt;="&amp;$B$2,Raw_Stats!$B:$B,$B16))</f>
        <v/>
      </c>
      <c r="F16" s="60" t="str">
        <f>IF($B16="","",SUMIFS(Raw_Stats!$F:$F,Raw_Stats!$A:$A,"&gt;="&amp;$B$1,Raw_Stats!$A:$A,"&lt;="&amp;$B$2,Raw_Stats!$B:$B,$B16))</f>
        <v/>
      </c>
      <c r="G16" s="60" t="str">
        <f>IF($B16="","",SUMIFS(Raw_Stats!$G:$G,Raw_Stats!$A:$A,"&gt;="&amp;$B$1,Raw_Stats!$A:$A,"&lt;="&amp;$B$2,Raw_Stats!$B:$B,$B16))</f>
        <v/>
      </c>
      <c r="H16" s="71" t="str">
        <f>IF($B16="","",SUMIFS(Raw_Stats!$H:$H,Raw_Stats!$A:$A,"&gt;="&amp;$B$1,Raw_Stats!$A:$A,"&lt;="&amp;$B$2,Raw_Stats!$B:$B,$B16))</f>
        <v/>
      </c>
      <c r="I16" s="73">
        <f t="shared" si="3"/>
        <v>0</v>
      </c>
    </row>
    <row r="17">
      <c r="A17" s="76" t="s">
        <v>216</v>
      </c>
      <c r="B17" s="76"/>
      <c r="C17" s="60" t="str">
        <f>IF($B17="","",SUMIFS(Raw_Stats!$C:$C,Raw_Stats!$A:$A,"&gt;="&amp;$B$1,Raw_Stats!$A:$A,"&lt;="&amp;$B$2,Raw_Stats!$B:$B,$B17))</f>
        <v/>
      </c>
      <c r="D17" s="60" t="str">
        <f>IF($B17="","",SUMIFS(Raw_Stats!$D:$D,Raw_Stats!$A:$A,"&gt;="&amp;$B$1,Raw_Stats!$A:$A,"&lt;="&amp;$B$2,Raw_Stats!$B:$B,$B17))</f>
        <v/>
      </c>
      <c r="E17" s="60" t="str">
        <f>IF($B17="","",SUMIFS(Raw_Stats!$E:$E,Raw_Stats!$A:$A,"&gt;="&amp;$B$1,Raw_Stats!$A:$A,"&lt;="&amp;$B$2,Raw_Stats!$B:$B,$B17))</f>
        <v/>
      </c>
      <c r="F17" s="60" t="str">
        <f>IF($B17="","",SUMIFS(Raw_Stats!$F:$F,Raw_Stats!$A:$A,"&gt;="&amp;$B$1,Raw_Stats!$A:$A,"&lt;="&amp;$B$2,Raw_Stats!$B:$B,$B17))</f>
        <v/>
      </c>
      <c r="G17" s="60" t="str">
        <f>IF($B17="","",SUMIFS(Raw_Stats!$G:$G,Raw_Stats!$A:$A,"&gt;="&amp;$B$1,Raw_Stats!$A:$A,"&lt;="&amp;$B$2,Raw_Stats!$B:$B,$B17))</f>
        <v/>
      </c>
      <c r="H17" s="71" t="str">
        <f>IF($B17="","",SUMIFS(Raw_Stats!$H:$H,Raw_Stats!$A:$A,"&gt;="&amp;$B$1,Raw_Stats!$A:$A,"&lt;="&amp;$B$2,Raw_Stats!$B:$B,$B17))</f>
        <v/>
      </c>
      <c r="I17" s="73">
        <f t="shared" si="3"/>
        <v>0</v>
      </c>
    </row>
    <row r="18">
      <c r="A18" s="76" t="s">
        <v>216</v>
      </c>
      <c r="B18" s="76"/>
      <c r="C18" s="60" t="str">
        <f>IF($B18="","",SUMIFS(Raw_Stats!$C:$C,Raw_Stats!$A:$A,"&gt;="&amp;$B$1,Raw_Stats!$A:$A,"&lt;="&amp;$B$2,Raw_Stats!$B:$B,$B18))</f>
        <v/>
      </c>
      <c r="D18" s="60" t="str">
        <f>IF($B18="","",SUMIFS(Raw_Stats!$D:$D,Raw_Stats!$A:$A,"&gt;="&amp;$B$1,Raw_Stats!$A:$A,"&lt;="&amp;$B$2,Raw_Stats!$B:$B,$B18))</f>
        <v/>
      </c>
      <c r="E18" s="60" t="str">
        <f>IF($B18="","",SUMIFS(Raw_Stats!$E:$E,Raw_Stats!$A:$A,"&gt;="&amp;$B$1,Raw_Stats!$A:$A,"&lt;="&amp;$B$2,Raw_Stats!$B:$B,$B18))</f>
        <v/>
      </c>
      <c r="F18" s="60" t="str">
        <f>IF($B18="","",SUMIFS(Raw_Stats!$F:$F,Raw_Stats!$A:$A,"&gt;="&amp;$B$1,Raw_Stats!$A:$A,"&lt;="&amp;$B$2,Raw_Stats!$B:$B,$B18))</f>
        <v/>
      </c>
      <c r="G18" s="60" t="str">
        <f>IF($B18="","",SUMIFS(Raw_Stats!$G:$G,Raw_Stats!$A:$A,"&gt;="&amp;$B$1,Raw_Stats!$A:$A,"&lt;="&amp;$B$2,Raw_Stats!$B:$B,$B18))</f>
        <v/>
      </c>
      <c r="H18" s="71" t="str">
        <f>IF($B18="","",SUMIFS(Raw_Stats!$H:$H,Raw_Stats!$A:$A,"&gt;="&amp;$B$1,Raw_Stats!$A:$A,"&lt;="&amp;$B$2,Raw_Stats!$B:$B,$B18))</f>
        <v/>
      </c>
      <c r="I18" s="73">
        <f t="shared" si="3"/>
        <v>0</v>
      </c>
    </row>
    <row r="19">
      <c r="A19" s="76" t="s">
        <v>216</v>
      </c>
      <c r="B19" s="70"/>
      <c r="C19" s="60" t="str">
        <f>IF($B19="","",SUMIFS(Raw_Stats!$C:$C,Raw_Stats!$A:$A,"&gt;="&amp;$B$1,Raw_Stats!$A:$A,"&lt;="&amp;$B$2,Raw_Stats!$B:$B,$B19))</f>
        <v/>
      </c>
      <c r="D19" s="60" t="str">
        <f>IF($B19="","",SUMIFS(Raw_Stats!$D:$D,Raw_Stats!$A:$A,"&gt;="&amp;$B$1,Raw_Stats!$A:$A,"&lt;="&amp;$B$2,Raw_Stats!$B:$B,$B19))</f>
        <v/>
      </c>
      <c r="E19" s="60" t="str">
        <f>IF($B19="","",SUMIFS(Raw_Stats!$E:$E,Raw_Stats!$A:$A,"&gt;="&amp;$B$1,Raw_Stats!$A:$A,"&lt;="&amp;$B$2,Raw_Stats!$B:$B,$B19))</f>
        <v/>
      </c>
      <c r="F19" s="60" t="str">
        <f>IF($B19="","",SUMIFS(Raw_Stats!$F:$F,Raw_Stats!$A:$A,"&gt;="&amp;$B$1,Raw_Stats!$A:$A,"&lt;="&amp;$B$2,Raw_Stats!$B:$B,$B19))</f>
        <v/>
      </c>
      <c r="G19" s="60" t="str">
        <f>IF($B19="","",SUMIFS(Raw_Stats!$G:$G,Raw_Stats!$A:$A,"&gt;="&amp;$B$1,Raw_Stats!$A:$A,"&lt;="&amp;$B$2,Raw_Stats!$B:$B,$B19))</f>
        <v/>
      </c>
      <c r="H19" s="71" t="str">
        <f>IF($B19="","",SUMIFS(Raw_Stats!$H:$H,Raw_Stats!$A:$A,"&gt;="&amp;$B$1,Raw_Stats!$A:$A,"&lt;="&amp;$B$2,Raw_Stats!$B:$B,$B19))</f>
        <v/>
      </c>
      <c r="I19" s="73">
        <f t="shared" si="3"/>
        <v>0</v>
      </c>
    </row>
    <row r="20">
      <c r="A20" s="96"/>
      <c r="B20" s="102" t="s">
        <v>217</v>
      </c>
      <c r="C20" s="103">
        <f>SUM(C15:C19)</f>
        <v>0</v>
      </c>
      <c r="D20" s="103">
        <f>SUM(D15:D19)*1.2</f>
        <v>0</v>
      </c>
      <c r="E20" s="103">
        <f>SUM(E15:E19)*1.5</f>
        <v>0</v>
      </c>
      <c r="F20" s="103">
        <f t="shared" ref="F20:G20" si="4">SUM(F15:F19)*2</f>
        <v>0</v>
      </c>
      <c r="G20" s="103">
        <f t="shared" si="4"/>
        <v>0</v>
      </c>
      <c r="H20" s="104">
        <f>SUM(H15:H19) *-1</f>
        <v>0</v>
      </c>
      <c r="I20" s="105">
        <f>SUM(C20:H20)</f>
        <v>0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0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21"/>
      <c r="C24" s="60" t="str">
        <f>IF($B24="","",SUMIFS(Raw_Stats!$C:$C,Raw_Stats!$A:$A,"&gt;="&amp;$B$1,Raw_Stats!$A:$A,"&lt;="&amp;$B$2,Raw_Stats!$B:$B,$B24))</f>
        <v/>
      </c>
      <c r="D24" s="60" t="str">
        <f>IF($B24="","",SUMIFS(Raw_Stats!$D:$D,Raw_Stats!$A:$A,"&gt;="&amp;$B$1,Raw_Stats!$A:$A,"&lt;="&amp;$B$2,Raw_Stats!$B:$B,$B24))</f>
        <v/>
      </c>
      <c r="E24" s="60" t="str">
        <f>IF($B24="","",SUMIFS(Raw_Stats!$E:$E,Raw_Stats!$A:$A,"&gt;="&amp;$B$1,Raw_Stats!$A:$A,"&lt;="&amp;$B$2,Raw_Stats!$B:$B,$B24))</f>
        <v/>
      </c>
      <c r="F24" s="60" t="str">
        <f>IF($B24="","",SUMIFS(Raw_Stats!$F:$F,Raw_Stats!$A:$A,"&gt;="&amp;$B$1,Raw_Stats!$A:$A,"&lt;="&amp;$B$2,Raw_Stats!$B:$B,$B24))</f>
        <v/>
      </c>
      <c r="G24" s="60" t="str">
        <f>IF($B24="","",SUMIFS(Raw_Stats!$G:$G,Raw_Stats!$A:$A,"&gt;="&amp;$B$1,Raw_Stats!$A:$A,"&lt;="&amp;$B$2,Raw_Stats!$B:$B,$B24))</f>
        <v/>
      </c>
      <c r="H24" s="71" t="str">
        <f>IF($B24="","",SUMIFS(Raw_Stats!$H:$H,Raw_Stats!$A:$A,"&gt;="&amp;$B$1,Raw_Stats!$A:$A,"&lt;="&amp;$B$2,Raw_Stats!$B:$B,$B24))</f>
        <v/>
      </c>
      <c r="I24" s="73">
        <f t="shared" ref="I24:I28" si="5">sum(C24+1.2*D24+1.5*E24+2*F24+2*G24)-H24</f>
        <v>0</v>
      </c>
    </row>
    <row r="25">
      <c r="A25" s="76" t="s">
        <v>215</v>
      </c>
      <c r="B25" s="21"/>
      <c r="C25" s="60" t="str">
        <f>IF($B25="","",SUMIFS(Raw_Stats!$C:$C,Raw_Stats!$A:$A,"&gt;="&amp;$B$1,Raw_Stats!$A:$A,"&lt;="&amp;$B$2,Raw_Stats!$B:$B,$B25))</f>
        <v/>
      </c>
      <c r="D25" s="60" t="str">
        <f>IF($B25="","",SUMIFS(Raw_Stats!$D:$D,Raw_Stats!$A:$A,"&gt;="&amp;$B$1,Raw_Stats!$A:$A,"&lt;="&amp;$B$2,Raw_Stats!$B:$B,$B25))</f>
        <v/>
      </c>
      <c r="E25" s="60" t="str">
        <f>IF($B25="","",SUMIFS(Raw_Stats!$E:$E,Raw_Stats!$A:$A,"&gt;="&amp;$B$1,Raw_Stats!$A:$A,"&lt;="&amp;$B$2,Raw_Stats!$B:$B,$B25))</f>
        <v/>
      </c>
      <c r="F25" s="60" t="str">
        <f>IF($B25="","",SUMIFS(Raw_Stats!$F:$F,Raw_Stats!$A:$A,"&gt;="&amp;$B$1,Raw_Stats!$A:$A,"&lt;="&amp;$B$2,Raw_Stats!$B:$B,$B25))</f>
        <v/>
      </c>
      <c r="G25" s="60" t="str">
        <f>IF($B25="","",SUMIFS(Raw_Stats!$G:$G,Raw_Stats!$A:$A,"&gt;="&amp;$B$1,Raw_Stats!$A:$A,"&lt;="&amp;$B$2,Raw_Stats!$B:$B,$B25))</f>
        <v/>
      </c>
      <c r="H25" s="71" t="str">
        <f>IF($B25="","",SUMIFS(Raw_Stats!$H:$H,Raw_Stats!$A:$A,"&gt;="&amp;$B$1,Raw_Stats!$A:$A,"&lt;="&amp;$B$2,Raw_Stats!$B:$B,$B25))</f>
        <v/>
      </c>
      <c r="I25" s="73">
        <f t="shared" si="5"/>
        <v>0</v>
      </c>
    </row>
    <row r="26">
      <c r="A26" s="76" t="s">
        <v>216</v>
      </c>
      <c r="B26" s="76"/>
      <c r="C26" s="60" t="str">
        <f>IF($B26="","",SUMIFS(Raw_Stats!$C:$C,Raw_Stats!$A:$A,"&gt;="&amp;$B$1,Raw_Stats!$A:$A,"&lt;="&amp;$B$2,Raw_Stats!$B:$B,$B26))</f>
        <v/>
      </c>
      <c r="D26" s="60" t="str">
        <f>IF($B26="","",SUMIFS(Raw_Stats!$D:$D,Raw_Stats!$A:$A,"&gt;="&amp;$B$1,Raw_Stats!$A:$A,"&lt;="&amp;$B$2,Raw_Stats!$B:$B,$B26))</f>
        <v/>
      </c>
      <c r="E26" s="60" t="str">
        <f>IF($B26="","",SUMIFS(Raw_Stats!$E:$E,Raw_Stats!$A:$A,"&gt;="&amp;$B$1,Raw_Stats!$A:$A,"&lt;="&amp;$B$2,Raw_Stats!$B:$B,$B26))</f>
        <v/>
      </c>
      <c r="F26" s="60" t="str">
        <f>IF($B26="","",SUMIFS(Raw_Stats!$F:$F,Raw_Stats!$A:$A,"&gt;="&amp;$B$1,Raw_Stats!$A:$A,"&lt;="&amp;$B$2,Raw_Stats!$B:$B,$B26))</f>
        <v/>
      </c>
      <c r="G26" s="60" t="str">
        <f>IF($B26="","",SUMIFS(Raw_Stats!$G:$G,Raw_Stats!$A:$A,"&gt;="&amp;$B$1,Raw_Stats!$A:$A,"&lt;="&amp;$B$2,Raw_Stats!$B:$B,$B26))</f>
        <v/>
      </c>
      <c r="H26" s="71" t="str">
        <f>IF($B26="","",SUMIFS(Raw_Stats!$H:$H,Raw_Stats!$A:$A,"&gt;="&amp;$B$1,Raw_Stats!$A:$A,"&lt;="&amp;$B$2,Raw_Stats!$B:$B,$B26))</f>
        <v/>
      </c>
      <c r="I26" s="73">
        <f t="shared" si="5"/>
        <v>0</v>
      </c>
    </row>
    <row r="27">
      <c r="A27" s="76" t="s">
        <v>216</v>
      </c>
      <c r="B27" s="21"/>
      <c r="C27" s="60" t="str">
        <f>IF($B27="","",SUMIFS(Raw_Stats!$C:$C,Raw_Stats!$A:$A,"&gt;="&amp;$B$1,Raw_Stats!$A:$A,"&lt;="&amp;$B$2,Raw_Stats!$B:$B,$B27))</f>
        <v/>
      </c>
      <c r="D27" s="60" t="str">
        <f>IF($B27="","",SUMIFS(Raw_Stats!$D:$D,Raw_Stats!$A:$A,"&gt;="&amp;$B$1,Raw_Stats!$A:$A,"&lt;="&amp;$B$2,Raw_Stats!$B:$B,$B27))</f>
        <v/>
      </c>
      <c r="E27" s="60" t="str">
        <f>IF($B27="","",SUMIFS(Raw_Stats!$E:$E,Raw_Stats!$A:$A,"&gt;="&amp;$B$1,Raw_Stats!$A:$A,"&lt;="&amp;$B$2,Raw_Stats!$B:$B,$B27))</f>
        <v/>
      </c>
      <c r="F27" s="60" t="str">
        <f>IF($B27="","",SUMIFS(Raw_Stats!$F:$F,Raw_Stats!$A:$A,"&gt;="&amp;$B$1,Raw_Stats!$A:$A,"&lt;="&amp;$B$2,Raw_Stats!$B:$B,$B27))</f>
        <v/>
      </c>
      <c r="G27" s="60" t="str">
        <f>IF($B27="","",SUMIFS(Raw_Stats!$G:$G,Raw_Stats!$A:$A,"&gt;="&amp;$B$1,Raw_Stats!$A:$A,"&lt;="&amp;$B$2,Raw_Stats!$B:$B,$B27))</f>
        <v/>
      </c>
      <c r="H27" s="71" t="str">
        <f>IF($B27="","",SUMIFS(Raw_Stats!$H:$H,Raw_Stats!$A:$A,"&gt;="&amp;$B$1,Raw_Stats!$A:$A,"&lt;="&amp;$B$2,Raw_Stats!$B:$B,$B27))</f>
        <v/>
      </c>
      <c r="I27" s="73">
        <f t="shared" si="5"/>
        <v>0</v>
      </c>
    </row>
    <row r="28">
      <c r="A28" s="76" t="s">
        <v>216</v>
      </c>
      <c r="B28" s="76"/>
      <c r="C28" s="60" t="str">
        <f>IF($B28="","",SUMIFS(Raw_Stats!$C:$C,Raw_Stats!$A:$A,"&gt;="&amp;$B$1,Raw_Stats!$A:$A,"&lt;="&amp;$B$2,Raw_Stats!$B:$B,$B28))</f>
        <v/>
      </c>
      <c r="D28" s="60" t="str">
        <f>IF($B28="","",SUMIFS(Raw_Stats!$D:$D,Raw_Stats!$A:$A,"&gt;="&amp;$B$1,Raw_Stats!$A:$A,"&lt;="&amp;$B$2,Raw_Stats!$B:$B,$B28))</f>
        <v/>
      </c>
      <c r="E28" s="60" t="str">
        <f>IF($B28="","",SUMIFS(Raw_Stats!$E:$E,Raw_Stats!$A:$A,"&gt;="&amp;$B$1,Raw_Stats!$A:$A,"&lt;="&amp;$B$2,Raw_Stats!$B:$B,$B28))</f>
        <v/>
      </c>
      <c r="F28" s="60" t="str">
        <f>IF($B28="","",SUMIFS(Raw_Stats!$F:$F,Raw_Stats!$A:$A,"&gt;="&amp;$B$1,Raw_Stats!$A:$A,"&lt;="&amp;$B$2,Raw_Stats!$B:$B,$B28))</f>
        <v/>
      </c>
      <c r="G28" s="60" t="str">
        <f>IF($B28="","",SUMIFS(Raw_Stats!$G:$G,Raw_Stats!$A:$A,"&gt;="&amp;$B$1,Raw_Stats!$A:$A,"&lt;="&amp;$B$2,Raw_Stats!$B:$B,$B28))</f>
        <v/>
      </c>
      <c r="H28" s="71" t="str">
        <f>IF($B28="","",SUMIFS(Raw_Stats!$H:$H,Raw_Stats!$A:$A,"&gt;="&amp;$B$1,Raw_Stats!$A:$A,"&lt;="&amp;$B$2,Raw_Stats!$B:$B,$B28))</f>
        <v/>
      </c>
      <c r="I28" s="73">
        <f t="shared" si="5"/>
        <v>0</v>
      </c>
    </row>
    <row r="29">
      <c r="A29" s="96"/>
      <c r="B29" s="108" t="s">
        <v>217</v>
      </c>
      <c r="C29" s="109">
        <f>SUM(C24:C28)</f>
        <v>0</v>
      </c>
      <c r="D29" s="109">
        <f>SUM(D24:D28)*1.2</f>
        <v>0</v>
      </c>
      <c r="E29" s="109">
        <f>SUM(E24:E28)*1.5</f>
        <v>0</v>
      </c>
      <c r="F29" s="109">
        <f t="shared" ref="F29:G29" si="6">SUM(F24:F28)*2</f>
        <v>0</v>
      </c>
      <c r="G29" s="109">
        <f t="shared" si="6"/>
        <v>0</v>
      </c>
      <c r="H29" s="109">
        <f>SUM(H24:H28) *-1</f>
        <v>0</v>
      </c>
      <c r="I29" s="110">
        <f>SUM(C29:H29)</f>
        <v>0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0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/>
      <c r="C33" s="60" t="str">
        <f>IF($B33="","",SUMIFS(Raw_Stats!$C:$C,Raw_Stats!$A:$A,"&gt;="&amp;$B$1,Raw_Stats!$A:$A,"&lt;="&amp;$B$2,Raw_Stats!$B:$B,$B33))</f>
        <v/>
      </c>
      <c r="D33" s="60" t="str">
        <f>IF($B33="","",SUMIFS(Raw_Stats!$D:$D,Raw_Stats!$A:$A,"&gt;="&amp;$B$1,Raw_Stats!$A:$A,"&lt;="&amp;$B$2,Raw_Stats!$B:$B,$B33))</f>
        <v/>
      </c>
      <c r="E33" s="60" t="str">
        <f>IF($B33="","",SUMIFS(Raw_Stats!$E:$E,Raw_Stats!$A:$A,"&gt;="&amp;$B$1,Raw_Stats!$A:$A,"&lt;="&amp;$B$2,Raw_Stats!$B:$B,$B33))</f>
        <v/>
      </c>
      <c r="F33" s="60" t="str">
        <f>IF($B33="","",SUMIFS(Raw_Stats!$F:$F,Raw_Stats!$A:$A,"&gt;="&amp;$B$1,Raw_Stats!$A:$A,"&lt;="&amp;$B$2,Raw_Stats!$B:$B,$B33))</f>
        <v/>
      </c>
      <c r="G33" s="60" t="str">
        <f>IF($B33="","",SUMIFS(Raw_Stats!$G:$G,Raw_Stats!$A:$A,"&gt;="&amp;$B$1,Raw_Stats!$A:$A,"&lt;="&amp;$B$2,Raw_Stats!$B:$B,$B33))</f>
        <v/>
      </c>
      <c r="H33" s="71" t="str">
        <f>IF($B33="","",SUMIFS(Raw_Stats!$H:$H,Raw_Stats!$A:$A,"&gt;="&amp;$B$1,Raw_Stats!$A:$A,"&lt;="&amp;$B$2,Raw_Stats!$B:$B,$B33))</f>
        <v/>
      </c>
      <c r="I33" s="73">
        <f t="shared" ref="I33:I37" si="7">sum(C33+1.2*D33+1.5*E33+2*F33+2*G33)-H33</f>
        <v>0</v>
      </c>
    </row>
    <row r="34">
      <c r="A34" s="76" t="s">
        <v>215</v>
      </c>
      <c r="B34" s="21"/>
      <c r="C34" s="60" t="str">
        <f>IF($B34="","",SUMIFS(Raw_Stats!$C:$C,Raw_Stats!$A:$A,"&gt;="&amp;$B$1,Raw_Stats!$A:$A,"&lt;="&amp;$B$2,Raw_Stats!$B:$B,$B34))</f>
        <v/>
      </c>
      <c r="D34" s="60" t="str">
        <f>IF($B34="","",SUMIFS(Raw_Stats!$D:$D,Raw_Stats!$A:$A,"&gt;="&amp;$B$1,Raw_Stats!$A:$A,"&lt;="&amp;$B$2,Raw_Stats!$B:$B,$B34))</f>
        <v/>
      </c>
      <c r="E34" s="60" t="str">
        <f>IF($B34="","",SUMIFS(Raw_Stats!$E:$E,Raw_Stats!$A:$A,"&gt;="&amp;$B$1,Raw_Stats!$A:$A,"&lt;="&amp;$B$2,Raw_Stats!$B:$B,$B34))</f>
        <v/>
      </c>
      <c r="F34" s="60" t="str">
        <f>IF($B34="","",SUMIFS(Raw_Stats!$F:$F,Raw_Stats!$A:$A,"&gt;="&amp;$B$1,Raw_Stats!$A:$A,"&lt;="&amp;$B$2,Raw_Stats!$B:$B,$B34))</f>
        <v/>
      </c>
      <c r="G34" s="60" t="str">
        <f>IF($B34="","",SUMIFS(Raw_Stats!$G:$G,Raw_Stats!$A:$A,"&gt;="&amp;$B$1,Raw_Stats!$A:$A,"&lt;="&amp;$B$2,Raw_Stats!$B:$B,$B34))</f>
        <v/>
      </c>
      <c r="H34" s="71" t="str">
        <f>IF($B34="","",SUMIFS(Raw_Stats!$H:$H,Raw_Stats!$A:$A,"&gt;="&amp;$B$1,Raw_Stats!$A:$A,"&lt;="&amp;$B$2,Raw_Stats!$B:$B,$B34))</f>
        <v/>
      </c>
      <c r="I34" s="73">
        <f t="shared" si="7"/>
        <v>0</v>
      </c>
    </row>
    <row r="35">
      <c r="A35" s="76" t="s">
        <v>216</v>
      </c>
      <c r="B35" s="21"/>
      <c r="C35" s="60" t="str">
        <f>IF($B35="","",SUMIFS(Raw_Stats!$C:$C,Raw_Stats!$A:$A,"&gt;="&amp;$B$1,Raw_Stats!$A:$A,"&lt;="&amp;$B$2,Raw_Stats!$B:$B,$B35))</f>
        <v/>
      </c>
      <c r="D35" s="60" t="str">
        <f>IF($B35="","",SUMIFS(Raw_Stats!$D:$D,Raw_Stats!$A:$A,"&gt;="&amp;$B$1,Raw_Stats!$A:$A,"&lt;="&amp;$B$2,Raw_Stats!$B:$B,$B35))</f>
        <v/>
      </c>
      <c r="E35" s="60" t="str">
        <f>IF($B35="","",SUMIFS(Raw_Stats!$E:$E,Raw_Stats!$A:$A,"&gt;="&amp;$B$1,Raw_Stats!$A:$A,"&lt;="&amp;$B$2,Raw_Stats!$B:$B,$B35))</f>
        <v/>
      </c>
      <c r="F35" s="60" t="str">
        <f>IF($B35="","",SUMIFS(Raw_Stats!$F:$F,Raw_Stats!$A:$A,"&gt;="&amp;$B$1,Raw_Stats!$A:$A,"&lt;="&amp;$B$2,Raw_Stats!$B:$B,$B35))</f>
        <v/>
      </c>
      <c r="G35" s="60" t="str">
        <f>IF($B35="","",SUMIFS(Raw_Stats!$G:$G,Raw_Stats!$A:$A,"&gt;="&amp;$B$1,Raw_Stats!$A:$A,"&lt;="&amp;$B$2,Raw_Stats!$B:$B,$B35))</f>
        <v/>
      </c>
      <c r="H35" s="71" t="str">
        <f>IF($B35="","",SUMIFS(Raw_Stats!$H:$H,Raw_Stats!$A:$A,"&gt;="&amp;$B$1,Raw_Stats!$A:$A,"&lt;="&amp;$B$2,Raw_Stats!$B:$B,$B35))</f>
        <v/>
      </c>
      <c r="I35" s="73">
        <f t="shared" si="7"/>
        <v>0</v>
      </c>
    </row>
    <row r="36">
      <c r="A36" s="76" t="s">
        <v>216</v>
      </c>
      <c r="B36" s="76"/>
      <c r="C36" s="60" t="str">
        <f>IF($B36="","",SUMIFS(Raw_Stats!$C:$C,Raw_Stats!$A:$A,"&gt;="&amp;$B$1,Raw_Stats!$A:$A,"&lt;="&amp;$B$2,Raw_Stats!$B:$B,$B36))</f>
        <v/>
      </c>
      <c r="D36" s="60" t="str">
        <f>IF($B36="","",SUMIFS(Raw_Stats!$D:$D,Raw_Stats!$A:$A,"&gt;="&amp;$B$1,Raw_Stats!$A:$A,"&lt;="&amp;$B$2,Raw_Stats!$B:$B,$B36))</f>
        <v/>
      </c>
      <c r="E36" s="60" t="str">
        <f>IF($B36="","",SUMIFS(Raw_Stats!$E:$E,Raw_Stats!$A:$A,"&gt;="&amp;$B$1,Raw_Stats!$A:$A,"&lt;="&amp;$B$2,Raw_Stats!$B:$B,$B36))</f>
        <v/>
      </c>
      <c r="F36" s="60" t="str">
        <f>IF($B36="","",SUMIFS(Raw_Stats!$F:$F,Raw_Stats!$A:$A,"&gt;="&amp;$B$1,Raw_Stats!$A:$A,"&lt;="&amp;$B$2,Raw_Stats!$B:$B,$B36))</f>
        <v/>
      </c>
      <c r="G36" s="60" t="str">
        <f>IF($B36="","",SUMIFS(Raw_Stats!$G:$G,Raw_Stats!$A:$A,"&gt;="&amp;$B$1,Raw_Stats!$A:$A,"&lt;="&amp;$B$2,Raw_Stats!$B:$B,$B36))</f>
        <v/>
      </c>
      <c r="H36" s="71" t="str">
        <f>IF($B36="","",SUMIFS(Raw_Stats!$H:$H,Raw_Stats!$A:$A,"&gt;="&amp;$B$1,Raw_Stats!$A:$A,"&lt;="&amp;$B$2,Raw_Stats!$B:$B,$B36))</f>
        <v/>
      </c>
      <c r="I36" s="73">
        <f t="shared" si="7"/>
        <v>0</v>
      </c>
    </row>
    <row r="37">
      <c r="A37" s="76" t="s">
        <v>216</v>
      </c>
      <c r="B37" s="70"/>
      <c r="C37" s="60" t="str">
        <f>IF($B37="","",SUMIFS(Raw_Stats!$C:$C,Raw_Stats!$A:$A,"&gt;="&amp;$B$1,Raw_Stats!$A:$A,"&lt;="&amp;$B$2,Raw_Stats!$B:$B,$B37))</f>
        <v/>
      </c>
      <c r="D37" s="60" t="str">
        <f>IF($B37="","",SUMIFS(Raw_Stats!$D:$D,Raw_Stats!$A:$A,"&gt;="&amp;$B$1,Raw_Stats!$A:$A,"&lt;="&amp;$B$2,Raw_Stats!$B:$B,$B37))</f>
        <v/>
      </c>
      <c r="E37" s="60" t="str">
        <f>IF($B37="","",SUMIFS(Raw_Stats!$E:$E,Raw_Stats!$A:$A,"&gt;="&amp;$B$1,Raw_Stats!$A:$A,"&lt;="&amp;$B$2,Raw_Stats!$B:$B,$B37))</f>
        <v/>
      </c>
      <c r="F37" s="60" t="str">
        <f>IF($B37="","",SUMIFS(Raw_Stats!$F:$F,Raw_Stats!$A:$A,"&gt;="&amp;$B$1,Raw_Stats!$A:$A,"&lt;="&amp;$B$2,Raw_Stats!$B:$B,$B37))</f>
        <v/>
      </c>
      <c r="G37" s="60" t="str">
        <f>IF($B37="","",SUMIFS(Raw_Stats!$G:$G,Raw_Stats!$A:$A,"&gt;="&amp;$B$1,Raw_Stats!$A:$A,"&lt;="&amp;$B$2,Raw_Stats!$B:$B,$B37))</f>
        <v/>
      </c>
      <c r="H37" s="71" t="str">
        <f>IF($B37="","",SUMIFS(Raw_Stats!$H:$H,Raw_Stats!$A:$A,"&gt;="&amp;$B$1,Raw_Stats!$A:$A,"&lt;="&amp;$B$2,Raw_Stats!$B:$B,$B37))</f>
        <v/>
      </c>
      <c r="I37" s="73">
        <f t="shared" si="7"/>
        <v>0</v>
      </c>
    </row>
    <row r="38">
      <c r="A38" s="96"/>
      <c r="B38" s="108" t="s">
        <v>217</v>
      </c>
      <c r="C38" s="109">
        <f>SUM(C33:C37)</f>
        <v>0</v>
      </c>
      <c r="D38" s="109">
        <f>SUM(D33:D37)*1.2</f>
        <v>0</v>
      </c>
      <c r="E38" s="109">
        <f>SUM(E33:E37)*1.5</f>
        <v>0</v>
      </c>
      <c r="F38" s="109">
        <f t="shared" ref="F38:G38" si="8">SUM(F33:F37)*2</f>
        <v>0</v>
      </c>
      <c r="G38" s="109">
        <f t="shared" si="8"/>
        <v>0</v>
      </c>
      <c r="H38" s="109">
        <f>SUM(H33:H37) *-1</f>
        <v>0</v>
      </c>
      <c r="I38" s="110">
        <f>SUM(C38:H38)</f>
        <v>0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111">
        <v>46131.0</v>
      </c>
      <c r="C1" s="94" t="s">
        <v>202</v>
      </c>
      <c r="D1" s="93" t="b">
        <v>0</v>
      </c>
      <c r="E1" s="94" t="s">
        <v>203</v>
      </c>
      <c r="F1" s="112">
        <v>46131.988446250005</v>
      </c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111">
        <v>46131.0</v>
      </c>
      <c r="C2" s="94" t="s">
        <v>205</v>
      </c>
      <c r="D2" s="93" t="b">
        <v>0</v>
      </c>
      <c r="E2" s="94" t="s">
        <v>4</v>
      </c>
      <c r="F2" s="93" t="s">
        <v>218</v>
      </c>
      <c r="G2" s="96"/>
      <c r="H2" s="96"/>
      <c r="I2" s="96"/>
      <c r="K2" s="34" t="s">
        <v>10</v>
      </c>
      <c r="L2" s="113">
        <v>46147.0</v>
      </c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113">
        <v>46147.0</v>
      </c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157.8</v>
      </c>
      <c r="K4" s="34" t="s">
        <v>12</v>
      </c>
      <c r="L4" s="34" t="s">
        <v>206</v>
      </c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113">
        <v>46147.0</v>
      </c>
      <c r="M5" s="34" t="s">
        <v>206</v>
      </c>
    </row>
    <row r="6">
      <c r="A6" s="76" t="s">
        <v>215</v>
      </c>
      <c r="B6" s="36" t="s">
        <v>40</v>
      </c>
      <c r="C6" s="60">
        <v>21.0</v>
      </c>
      <c r="D6" s="60">
        <v>1.0</v>
      </c>
      <c r="E6" s="60">
        <v>8.0</v>
      </c>
      <c r="F6" s="60">
        <v>0.0</v>
      </c>
      <c r="G6" s="60">
        <v>0.0</v>
      </c>
      <c r="H6" s="71">
        <v>3.0</v>
      </c>
      <c r="I6" s="72">
        <f t="shared" ref="I6:I10" si="1">sum(C6+1.2*D6+1.5*E6+2*F6+2*G6)-H6</f>
        <v>31.2</v>
      </c>
      <c r="J6" s="36" t="s">
        <v>219</v>
      </c>
    </row>
    <row r="7">
      <c r="A7" s="76" t="s">
        <v>215</v>
      </c>
      <c r="B7" s="76" t="s">
        <v>109</v>
      </c>
      <c r="C7" s="60">
        <v>17.0</v>
      </c>
      <c r="D7" s="60">
        <v>5.0</v>
      </c>
      <c r="E7" s="60">
        <v>1.0</v>
      </c>
      <c r="F7" s="60">
        <v>1.0</v>
      </c>
      <c r="G7" s="60">
        <v>1.0</v>
      </c>
      <c r="H7" s="71">
        <v>3.0</v>
      </c>
      <c r="I7" s="72">
        <f t="shared" si="1"/>
        <v>25.5</v>
      </c>
      <c r="J7" s="36" t="s">
        <v>219</v>
      </c>
    </row>
    <row r="8">
      <c r="A8" s="76" t="s">
        <v>216</v>
      </c>
      <c r="B8" s="70" t="s">
        <v>189</v>
      </c>
      <c r="C8" s="60">
        <v>35.0</v>
      </c>
      <c r="D8" s="60">
        <v>5.0</v>
      </c>
      <c r="E8" s="60">
        <v>1.0</v>
      </c>
      <c r="F8" s="60">
        <v>0.0</v>
      </c>
      <c r="G8" s="60">
        <v>2.0</v>
      </c>
      <c r="H8" s="71">
        <v>4.0</v>
      </c>
      <c r="I8" s="72">
        <f t="shared" si="1"/>
        <v>42.5</v>
      </c>
      <c r="J8" s="36" t="s">
        <v>219</v>
      </c>
    </row>
    <row r="9">
      <c r="A9" s="76" t="s">
        <v>216</v>
      </c>
      <c r="B9" s="76" t="s">
        <v>98</v>
      </c>
      <c r="C9" s="60">
        <v>26.0</v>
      </c>
      <c r="D9" s="60">
        <v>4.0</v>
      </c>
      <c r="E9" s="60">
        <v>3.0</v>
      </c>
      <c r="F9" s="60">
        <v>2.0</v>
      </c>
      <c r="G9" s="60">
        <v>0.0</v>
      </c>
      <c r="H9" s="71">
        <v>2.0</v>
      </c>
      <c r="I9" s="72">
        <f t="shared" si="1"/>
        <v>37.3</v>
      </c>
      <c r="J9" s="36" t="s">
        <v>219</v>
      </c>
    </row>
    <row r="10">
      <c r="A10" s="76" t="s">
        <v>216</v>
      </c>
      <c r="B10" s="36" t="s">
        <v>48</v>
      </c>
      <c r="C10" s="60">
        <v>17.0</v>
      </c>
      <c r="D10" s="60">
        <v>4.0</v>
      </c>
      <c r="E10" s="60">
        <v>1.0</v>
      </c>
      <c r="F10" s="60">
        <v>0.0</v>
      </c>
      <c r="G10" s="60">
        <v>0.0</v>
      </c>
      <c r="H10" s="71">
        <v>2.0</v>
      </c>
      <c r="I10" s="72">
        <f t="shared" si="1"/>
        <v>21.3</v>
      </c>
      <c r="J10" s="36" t="s">
        <v>219</v>
      </c>
    </row>
    <row r="11">
      <c r="A11" s="96"/>
      <c r="B11" s="102" t="s">
        <v>217</v>
      </c>
      <c r="C11" s="103">
        <f>SUM(C6:C10)</f>
        <v>116</v>
      </c>
      <c r="D11" s="103">
        <f>SUM(D6:D10)*1.2</f>
        <v>22.8</v>
      </c>
      <c r="E11" s="103">
        <f>SUM(E6:E10)*1.5</f>
        <v>21</v>
      </c>
      <c r="F11" s="103">
        <f t="shared" ref="F11:G11" si="2">SUM(F6:F10)*2</f>
        <v>6</v>
      </c>
      <c r="G11" s="103">
        <f t="shared" si="2"/>
        <v>6</v>
      </c>
      <c r="H11" s="104">
        <f>SUM(H6:H10) *-1</f>
        <v>-14</v>
      </c>
      <c r="I11" s="105">
        <f>SUM(C11:H11)</f>
        <v>157.8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0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/>
      <c r="C15" s="60"/>
      <c r="D15" s="60"/>
      <c r="E15" s="60"/>
      <c r="F15" s="60"/>
      <c r="G15" s="60"/>
      <c r="H15" s="71"/>
      <c r="I15" s="73">
        <f t="shared" ref="I15:I19" si="3">sum(C15+1.2*D15+1.5*E15+2*F15+2*G15)-H15</f>
        <v>0</v>
      </c>
    </row>
    <row r="16">
      <c r="A16" s="76" t="s">
        <v>215</v>
      </c>
      <c r="B16" s="76"/>
      <c r="C16" s="60"/>
      <c r="D16" s="60"/>
      <c r="E16" s="60"/>
      <c r="F16" s="60"/>
      <c r="G16" s="60"/>
      <c r="H16" s="71"/>
      <c r="I16" s="73">
        <f t="shared" si="3"/>
        <v>0</v>
      </c>
    </row>
    <row r="17">
      <c r="A17" s="76" t="s">
        <v>216</v>
      </c>
      <c r="B17" s="76"/>
      <c r="C17" s="60"/>
      <c r="D17" s="60"/>
      <c r="E17" s="60"/>
      <c r="F17" s="60"/>
      <c r="G17" s="60"/>
      <c r="H17" s="71"/>
      <c r="I17" s="73">
        <f t="shared" si="3"/>
        <v>0</v>
      </c>
    </row>
    <row r="18">
      <c r="A18" s="76" t="s">
        <v>216</v>
      </c>
      <c r="B18" s="76"/>
      <c r="C18" s="60"/>
      <c r="D18" s="60"/>
      <c r="E18" s="60"/>
      <c r="F18" s="60"/>
      <c r="G18" s="60"/>
      <c r="H18" s="71"/>
      <c r="I18" s="73">
        <f t="shared" si="3"/>
        <v>0</v>
      </c>
    </row>
    <row r="19">
      <c r="A19" s="76" t="s">
        <v>216</v>
      </c>
      <c r="B19" s="70"/>
      <c r="C19" s="60"/>
      <c r="D19" s="60"/>
      <c r="E19" s="60"/>
      <c r="F19" s="60"/>
      <c r="G19" s="60"/>
      <c r="H19" s="71"/>
      <c r="I19" s="73">
        <f t="shared" si="3"/>
        <v>0</v>
      </c>
    </row>
    <row r="20">
      <c r="A20" s="96"/>
      <c r="B20" s="102" t="s">
        <v>217</v>
      </c>
      <c r="C20" s="103">
        <f>SUM(C15:C19)</f>
        <v>0</v>
      </c>
      <c r="D20" s="103">
        <f>SUM(D15:D19)*1.2</f>
        <v>0</v>
      </c>
      <c r="E20" s="103">
        <f>SUM(E15:E19)*1.5</f>
        <v>0</v>
      </c>
      <c r="F20" s="103">
        <f t="shared" ref="F20:G20" si="4">SUM(F15:F19)*2</f>
        <v>0</v>
      </c>
      <c r="G20" s="103">
        <f t="shared" si="4"/>
        <v>0</v>
      </c>
      <c r="H20" s="104">
        <f>SUM(H15:H19) *-1</f>
        <v>0</v>
      </c>
      <c r="I20" s="105">
        <f>SUM(C20:H20)</f>
        <v>0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213.8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36" t="s">
        <v>75</v>
      </c>
      <c r="C24" s="60">
        <v>39.0</v>
      </c>
      <c r="D24" s="60">
        <v>5.0</v>
      </c>
      <c r="E24" s="60">
        <v>4.0</v>
      </c>
      <c r="F24" s="60">
        <v>0.0</v>
      </c>
      <c r="G24" s="60">
        <v>0.0</v>
      </c>
      <c r="H24" s="71">
        <v>3.0</v>
      </c>
      <c r="I24" s="73">
        <f t="shared" ref="I24:I28" si="5">sum(C24+1.2*D24+1.5*E24+2*F24+2*G24)-H24</f>
        <v>48</v>
      </c>
      <c r="J24" s="36" t="s">
        <v>219</v>
      </c>
    </row>
    <row r="25">
      <c r="A25" s="76" t="s">
        <v>215</v>
      </c>
      <c r="B25" s="36" t="s">
        <v>169</v>
      </c>
      <c r="C25" s="60">
        <v>17.0</v>
      </c>
      <c r="D25" s="60">
        <v>7.0</v>
      </c>
      <c r="E25" s="60">
        <v>7.0</v>
      </c>
      <c r="F25" s="60">
        <v>0.0</v>
      </c>
      <c r="G25" s="60">
        <v>0.0</v>
      </c>
      <c r="H25" s="71">
        <v>3.0</v>
      </c>
      <c r="I25" s="73">
        <f t="shared" si="5"/>
        <v>32.9</v>
      </c>
      <c r="J25" s="36" t="s">
        <v>219</v>
      </c>
    </row>
    <row r="26">
      <c r="A26" s="76" t="s">
        <v>216</v>
      </c>
      <c r="B26" s="76" t="s">
        <v>69</v>
      </c>
      <c r="C26" s="60">
        <v>25.0</v>
      </c>
      <c r="D26" s="60">
        <v>11.0</v>
      </c>
      <c r="E26" s="60">
        <v>7.0</v>
      </c>
      <c r="F26" s="60">
        <v>2.0</v>
      </c>
      <c r="G26" s="60">
        <v>0.0</v>
      </c>
      <c r="H26" s="71">
        <v>1.0</v>
      </c>
      <c r="I26" s="73">
        <f t="shared" si="5"/>
        <v>51.7</v>
      </c>
      <c r="J26" s="36" t="s">
        <v>219</v>
      </c>
    </row>
    <row r="27">
      <c r="A27" s="76" t="s">
        <v>216</v>
      </c>
      <c r="B27" s="36" t="s">
        <v>51</v>
      </c>
      <c r="C27" s="60">
        <v>23.0</v>
      </c>
      <c r="D27" s="60">
        <v>9.0</v>
      </c>
      <c r="E27" s="60">
        <v>4.0</v>
      </c>
      <c r="F27" s="60">
        <v>1.0</v>
      </c>
      <c r="G27" s="60">
        <v>0.0</v>
      </c>
      <c r="H27" s="71">
        <v>3.0</v>
      </c>
      <c r="I27" s="73">
        <f t="shared" si="5"/>
        <v>38.8</v>
      </c>
      <c r="J27" s="36" t="s">
        <v>219</v>
      </c>
    </row>
    <row r="28">
      <c r="A28" s="76" t="s">
        <v>216</v>
      </c>
      <c r="B28" s="76" t="s">
        <v>80</v>
      </c>
      <c r="C28" s="60">
        <v>22.0</v>
      </c>
      <c r="D28" s="60">
        <v>7.0</v>
      </c>
      <c r="E28" s="60">
        <v>6.0</v>
      </c>
      <c r="F28" s="60">
        <v>1.0</v>
      </c>
      <c r="G28" s="60">
        <v>1.0</v>
      </c>
      <c r="H28" s="71">
        <v>1.0</v>
      </c>
      <c r="I28" s="73">
        <f t="shared" si="5"/>
        <v>42.4</v>
      </c>
      <c r="J28" s="36" t="s">
        <v>219</v>
      </c>
    </row>
    <row r="29">
      <c r="A29" s="96"/>
      <c r="B29" s="108" t="s">
        <v>217</v>
      </c>
      <c r="C29" s="109">
        <f>SUM(C24:C28)</f>
        <v>126</v>
      </c>
      <c r="D29" s="109">
        <f>SUM(D24:D28)*1.2</f>
        <v>46.8</v>
      </c>
      <c r="E29" s="109">
        <f>SUM(E24:E28)*1.5</f>
        <v>42</v>
      </c>
      <c r="F29" s="109">
        <f t="shared" ref="F29:G29" si="6">SUM(F24:F28)*2</f>
        <v>8</v>
      </c>
      <c r="G29" s="109">
        <f t="shared" si="6"/>
        <v>2</v>
      </c>
      <c r="H29" s="109">
        <f>SUM(H24:H28) *-1</f>
        <v>-11</v>
      </c>
      <c r="I29" s="110">
        <f>SUM(C29:H29)</f>
        <v>213.8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174.3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 t="s">
        <v>73</v>
      </c>
      <c r="C33" s="60">
        <v>25.0</v>
      </c>
      <c r="D33" s="60">
        <v>4.0</v>
      </c>
      <c r="E33" s="60">
        <v>7.0</v>
      </c>
      <c r="F33" s="60">
        <v>0.0</v>
      </c>
      <c r="G33" s="60">
        <v>2.0</v>
      </c>
      <c r="H33" s="71">
        <v>0.0</v>
      </c>
      <c r="I33" s="73">
        <f t="shared" ref="I33:I37" si="7">sum(C33+1.2*D33+1.5*E33+2*F33+2*G33)-H33</f>
        <v>44.3</v>
      </c>
      <c r="J33" s="36" t="s">
        <v>219</v>
      </c>
    </row>
    <row r="34">
      <c r="A34" s="76" t="s">
        <v>215</v>
      </c>
      <c r="B34" s="36" t="s">
        <v>49</v>
      </c>
      <c r="C34" s="60">
        <v>23.0</v>
      </c>
      <c r="D34" s="60">
        <v>6.0</v>
      </c>
      <c r="E34" s="60">
        <v>2.0</v>
      </c>
      <c r="F34" s="60">
        <v>0.0</v>
      </c>
      <c r="G34" s="60">
        <v>0.0</v>
      </c>
      <c r="H34" s="71">
        <v>3.0</v>
      </c>
      <c r="I34" s="73">
        <f t="shared" si="7"/>
        <v>30.2</v>
      </c>
      <c r="J34" s="36" t="s">
        <v>219</v>
      </c>
    </row>
    <row r="35">
      <c r="A35" s="76" t="s">
        <v>216</v>
      </c>
      <c r="B35" s="36" t="s">
        <v>33</v>
      </c>
      <c r="C35" s="60">
        <v>30.0</v>
      </c>
      <c r="D35" s="60">
        <v>10.0</v>
      </c>
      <c r="E35" s="60">
        <v>5.0</v>
      </c>
      <c r="F35" s="60">
        <v>1.0</v>
      </c>
      <c r="G35" s="60">
        <v>1.0</v>
      </c>
      <c r="H35" s="71">
        <v>2.0</v>
      </c>
      <c r="I35" s="73">
        <f t="shared" si="7"/>
        <v>51.5</v>
      </c>
      <c r="J35" s="36" t="s">
        <v>219</v>
      </c>
    </row>
    <row r="36">
      <c r="A36" s="76" t="s">
        <v>216</v>
      </c>
      <c r="B36" s="76" t="s">
        <v>108</v>
      </c>
      <c r="C36" s="60">
        <v>8.0</v>
      </c>
      <c r="D36" s="60">
        <v>7.0</v>
      </c>
      <c r="E36" s="60">
        <v>1.0</v>
      </c>
      <c r="F36" s="60">
        <v>0.0</v>
      </c>
      <c r="G36" s="60">
        <v>1.0</v>
      </c>
      <c r="H36" s="71">
        <v>3.0</v>
      </c>
      <c r="I36" s="73">
        <f t="shared" si="7"/>
        <v>16.9</v>
      </c>
      <c r="J36" s="36" t="s">
        <v>219</v>
      </c>
    </row>
    <row r="37">
      <c r="A37" s="76" t="s">
        <v>216</v>
      </c>
      <c r="B37" s="70" t="s">
        <v>101</v>
      </c>
      <c r="C37" s="60">
        <v>16.0</v>
      </c>
      <c r="D37" s="60">
        <v>7.0</v>
      </c>
      <c r="E37" s="60">
        <v>0.0</v>
      </c>
      <c r="F37" s="60">
        <v>2.0</v>
      </c>
      <c r="G37" s="60">
        <v>2.0</v>
      </c>
      <c r="H37" s="71">
        <v>1.0</v>
      </c>
      <c r="I37" s="73">
        <f t="shared" si="7"/>
        <v>31.4</v>
      </c>
      <c r="J37" s="36" t="s">
        <v>219</v>
      </c>
    </row>
    <row r="38">
      <c r="A38" s="96"/>
      <c r="B38" s="108" t="s">
        <v>217</v>
      </c>
      <c r="C38" s="109">
        <f>SUM(C33:C37)</f>
        <v>102</v>
      </c>
      <c r="D38" s="109">
        <f>SUM(D33:D37)*1.2</f>
        <v>40.8</v>
      </c>
      <c r="E38" s="109">
        <f>SUM(E33:E37)*1.5</f>
        <v>22.5</v>
      </c>
      <c r="F38" s="109">
        <f t="shared" ref="F38:G38" si="8">SUM(F33:F37)*2</f>
        <v>6</v>
      </c>
      <c r="G38" s="109">
        <f t="shared" si="8"/>
        <v>12</v>
      </c>
      <c r="H38" s="109">
        <f>SUM(H33:H37) *-1</f>
        <v>-9</v>
      </c>
      <c r="I38" s="110">
        <f>SUM(C38:H38)</f>
        <v>174.3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5" width="3.88"/>
    <col customWidth="1" min="6" max="6" width="3.75"/>
    <col customWidth="1" min="7" max="7" width="3.88"/>
    <col customWidth="1" min="8" max="8" width="3.0"/>
    <col customWidth="1" min="9" max="9" width="9.38"/>
    <col customWidth="1" min="10" max="10" width="9.13"/>
    <col customWidth="1" min="11" max="11" width="10.63"/>
    <col customWidth="1" min="12" max="12" width="19.5"/>
  </cols>
  <sheetData>
    <row r="1">
      <c r="A1" s="114" t="s">
        <v>220</v>
      </c>
      <c r="B1" s="36" t="s">
        <v>6</v>
      </c>
      <c r="C1" s="36" t="s">
        <v>221</v>
      </c>
      <c r="D1" s="36" t="s">
        <v>222</v>
      </c>
      <c r="E1" s="36" t="s">
        <v>223</v>
      </c>
      <c r="F1" s="36" t="s">
        <v>224</v>
      </c>
      <c r="G1" s="36" t="s">
        <v>225</v>
      </c>
      <c r="H1" s="36" t="s">
        <v>226</v>
      </c>
      <c r="I1" s="36" t="s">
        <v>227</v>
      </c>
      <c r="J1" s="36" t="s">
        <v>228</v>
      </c>
      <c r="K1" s="36" t="s">
        <v>4</v>
      </c>
      <c r="L1" s="36" t="s">
        <v>229</v>
      </c>
    </row>
    <row r="2">
      <c r="A2" s="114">
        <v>46132.0</v>
      </c>
      <c r="B2" s="36" t="s">
        <v>200</v>
      </c>
      <c r="C2" s="36">
        <v>7.0</v>
      </c>
      <c r="D2" s="36">
        <v>4.0</v>
      </c>
      <c r="E2" s="36">
        <v>3.0</v>
      </c>
      <c r="F2" s="36">
        <v>1.0</v>
      </c>
      <c r="G2" s="36">
        <v>0.0</v>
      </c>
      <c r="H2" s="36">
        <v>5.0</v>
      </c>
      <c r="I2" s="41">
        <v>46133.253847071755</v>
      </c>
      <c r="J2" s="36">
        <v>4.01869369E8</v>
      </c>
      <c r="K2" s="36" t="s">
        <v>219</v>
      </c>
      <c r="L2" s="36" t="s">
        <v>230</v>
      </c>
    </row>
    <row r="3">
      <c r="A3" s="114">
        <v>46132.0</v>
      </c>
      <c r="B3" s="36" t="s">
        <v>180</v>
      </c>
      <c r="C3" s="36">
        <v>26.0</v>
      </c>
      <c r="D3" s="36">
        <v>4.0</v>
      </c>
      <c r="E3" s="36">
        <v>5.0</v>
      </c>
      <c r="F3" s="36">
        <v>2.0</v>
      </c>
      <c r="G3" s="36">
        <v>1.0</v>
      </c>
      <c r="H3" s="36">
        <v>4.0</v>
      </c>
      <c r="I3" s="41">
        <v>46133.253849409724</v>
      </c>
      <c r="J3" s="36">
        <v>4.01869369E8</v>
      </c>
      <c r="K3" s="36" t="s">
        <v>219</v>
      </c>
      <c r="L3" s="36" t="s">
        <v>231</v>
      </c>
    </row>
    <row r="4">
      <c r="A4" s="114">
        <v>46132.0</v>
      </c>
      <c r="B4" s="36" t="s">
        <v>91</v>
      </c>
      <c r="C4" s="36">
        <v>25.0</v>
      </c>
      <c r="D4" s="36">
        <v>8.0</v>
      </c>
      <c r="E4" s="36">
        <v>2.0</v>
      </c>
      <c r="F4" s="36">
        <v>0.0</v>
      </c>
      <c r="G4" s="36">
        <v>1.0</v>
      </c>
      <c r="H4" s="36">
        <v>1.0</v>
      </c>
      <c r="I4" s="41">
        <v>46133.253872870366</v>
      </c>
      <c r="J4" s="36">
        <v>4.01869369E8</v>
      </c>
      <c r="K4" s="36" t="s">
        <v>219</v>
      </c>
      <c r="L4" s="36" t="s">
        <v>232</v>
      </c>
    </row>
    <row r="5">
      <c r="A5" s="114">
        <v>46132.0</v>
      </c>
      <c r="B5" s="36" t="s">
        <v>90</v>
      </c>
      <c r="C5" s="36">
        <v>28.0</v>
      </c>
      <c r="D5" s="36">
        <v>5.0</v>
      </c>
      <c r="E5" s="36">
        <v>4.0</v>
      </c>
      <c r="F5" s="36">
        <v>5.0</v>
      </c>
      <c r="G5" s="36">
        <v>1.0</v>
      </c>
      <c r="H5" s="36">
        <v>5.0</v>
      </c>
      <c r="I5" s="41">
        <v>46133.25387400463</v>
      </c>
      <c r="J5" s="36">
        <v>4.01869369E8</v>
      </c>
      <c r="K5" s="36" t="s">
        <v>219</v>
      </c>
      <c r="L5" s="36" t="s">
        <v>233</v>
      </c>
    </row>
    <row r="6">
      <c r="A6" s="114">
        <v>46132.0</v>
      </c>
      <c r="B6" s="36" t="s">
        <v>87</v>
      </c>
      <c r="C6" s="36">
        <v>30.0</v>
      </c>
      <c r="D6" s="36">
        <v>7.0</v>
      </c>
      <c r="E6" s="36">
        <v>5.0</v>
      </c>
      <c r="F6" s="36">
        <v>1.0</v>
      </c>
      <c r="G6" s="36">
        <v>0.0</v>
      </c>
      <c r="H6" s="36">
        <v>1.0</v>
      </c>
      <c r="I6" s="41">
        <v>46133.25387503472</v>
      </c>
      <c r="J6" s="36">
        <v>4.01869369E8</v>
      </c>
      <c r="K6" s="36" t="s">
        <v>219</v>
      </c>
      <c r="L6" s="36" t="s">
        <v>234</v>
      </c>
    </row>
    <row r="7">
      <c r="A7" s="114">
        <v>46132.0</v>
      </c>
      <c r="B7" s="36" t="s">
        <v>176</v>
      </c>
      <c r="C7" s="36">
        <v>17.0</v>
      </c>
      <c r="D7" s="36">
        <v>8.0</v>
      </c>
      <c r="E7" s="36">
        <v>3.0</v>
      </c>
      <c r="F7" s="36">
        <v>1.0</v>
      </c>
      <c r="G7" s="36">
        <v>0.0</v>
      </c>
      <c r="H7" s="36">
        <v>3.0</v>
      </c>
      <c r="I7" s="41">
        <v>46133.25388853009</v>
      </c>
      <c r="J7" s="36">
        <v>4.01869387E8</v>
      </c>
      <c r="K7" s="36" t="s">
        <v>219</v>
      </c>
      <c r="L7" s="36" t="s">
        <v>235</v>
      </c>
    </row>
    <row r="8">
      <c r="A8" s="114">
        <v>46132.0</v>
      </c>
      <c r="B8" s="36" t="s">
        <v>130</v>
      </c>
      <c r="C8" s="36">
        <v>9.0</v>
      </c>
      <c r="D8" s="36">
        <v>5.0</v>
      </c>
      <c r="E8" s="36">
        <v>6.0</v>
      </c>
      <c r="F8" s="36">
        <v>0.0</v>
      </c>
      <c r="G8" s="36">
        <v>3.0</v>
      </c>
      <c r="H8" s="36">
        <v>2.0</v>
      </c>
      <c r="I8" s="41">
        <v>46133.253896435184</v>
      </c>
      <c r="J8" s="36">
        <v>4.01869387E8</v>
      </c>
      <c r="K8" s="36" t="s">
        <v>219</v>
      </c>
      <c r="L8" s="36" t="s">
        <v>236</v>
      </c>
    </row>
    <row r="9">
      <c r="A9" s="114">
        <v>46132.0</v>
      </c>
      <c r="B9" s="36" t="s">
        <v>70</v>
      </c>
      <c r="C9" s="36">
        <v>18.0</v>
      </c>
      <c r="D9" s="36">
        <v>8.0</v>
      </c>
      <c r="E9" s="36">
        <v>2.0</v>
      </c>
      <c r="F9" s="36">
        <v>0.0</v>
      </c>
      <c r="G9" s="36">
        <v>2.0</v>
      </c>
      <c r="H9" s="36">
        <v>3.0</v>
      </c>
      <c r="I9" s="41">
        <v>46133.25391280092</v>
      </c>
      <c r="J9" s="36">
        <v>4.01869387E8</v>
      </c>
      <c r="K9" s="36" t="s">
        <v>219</v>
      </c>
      <c r="L9" s="36" t="s">
        <v>237</v>
      </c>
    </row>
    <row r="10">
      <c r="A10" s="114">
        <v>46132.0</v>
      </c>
      <c r="B10" s="36" t="s">
        <v>84</v>
      </c>
      <c r="C10" s="36">
        <v>29.0</v>
      </c>
      <c r="D10" s="36">
        <v>2.0</v>
      </c>
      <c r="E10" s="36">
        <v>7.0</v>
      </c>
      <c r="F10" s="36">
        <v>0.0</v>
      </c>
      <c r="G10" s="36">
        <v>0.0</v>
      </c>
      <c r="H10" s="36">
        <v>3.0</v>
      </c>
      <c r="I10" s="41">
        <v>46133.25391615741</v>
      </c>
      <c r="J10" s="36">
        <v>4.01869387E8</v>
      </c>
      <c r="K10" s="36" t="s">
        <v>219</v>
      </c>
      <c r="L10" s="36" t="s">
        <v>238</v>
      </c>
    </row>
    <row r="11">
      <c r="A11" s="114">
        <v>46132.0</v>
      </c>
      <c r="B11" s="36" t="s">
        <v>88</v>
      </c>
      <c r="C11" s="36">
        <v>24.0</v>
      </c>
      <c r="D11" s="36">
        <v>9.0</v>
      </c>
      <c r="E11" s="36">
        <v>6.0</v>
      </c>
      <c r="F11" s="36">
        <v>0.0</v>
      </c>
      <c r="G11" s="36">
        <v>0.0</v>
      </c>
      <c r="H11" s="36">
        <v>1.0</v>
      </c>
      <c r="I11" s="41">
        <v>46133.25393251158</v>
      </c>
      <c r="J11" s="36">
        <v>4.01869395E8</v>
      </c>
      <c r="K11" s="36" t="s">
        <v>219</v>
      </c>
      <c r="L11" s="36" t="s">
        <v>239</v>
      </c>
    </row>
    <row r="12">
      <c r="A12" s="114">
        <v>46132.0</v>
      </c>
      <c r="B12" s="36" t="s">
        <v>81</v>
      </c>
      <c r="C12" s="44">
        <v>2.0</v>
      </c>
      <c r="D12" s="44">
        <v>7.0</v>
      </c>
      <c r="E12" s="44">
        <v>1.0</v>
      </c>
      <c r="F12" s="44">
        <v>2.0</v>
      </c>
      <c r="G12" s="44">
        <v>0.0</v>
      </c>
      <c r="H12" s="44">
        <v>2.0</v>
      </c>
      <c r="I12" s="41">
        <v>46133.25393502315</v>
      </c>
      <c r="J12" s="36">
        <v>4.01869395E8</v>
      </c>
      <c r="K12" s="36" t="s">
        <v>219</v>
      </c>
      <c r="L12" s="36" t="s">
        <v>240</v>
      </c>
    </row>
    <row r="13">
      <c r="A13" s="114">
        <v>46132.0</v>
      </c>
      <c r="B13" s="36" t="s">
        <v>78</v>
      </c>
      <c r="C13" s="44">
        <v>30.0</v>
      </c>
      <c r="D13" s="44">
        <v>10.0</v>
      </c>
      <c r="E13" s="44">
        <v>2.0</v>
      </c>
      <c r="F13" s="44">
        <v>1.0</v>
      </c>
      <c r="G13" s="44">
        <v>2.0</v>
      </c>
      <c r="H13" s="44">
        <v>2.0</v>
      </c>
      <c r="I13" s="41">
        <v>46133.25393744213</v>
      </c>
      <c r="J13" s="36">
        <v>4.01869395E8</v>
      </c>
      <c r="K13" s="36" t="s">
        <v>219</v>
      </c>
      <c r="L13" s="36" t="s">
        <v>241</v>
      </c>
    </row>
    <row r="14">
      <c r="A14" s="114">
        <v>46132.0</v>
      </c>
      <c r="B14" s="36" t="s">
        <v>58</v>
      </c>
      <c r="C14" s="44">
        <v>8.0</v>
      </c>
      <c r="D14" s="44">
        <v>7.0</v>
      </c>
      <c r="E14" s="44">
        <v>4.0</v>
      </c>
      <c r="F14" s="44">
        <v>0.0</v>
      </c>
      <c r="G14" s="44">
        <v>0.0</v>
      </c>
      <c r="H14" s="44">
        <v>0.0</v>
      </c>
      <c r="I14" s="41">
        <v>46133.253951273146</v>
      </c>
      <c r="J14" s="36">
        <v>4.01869395E8</v>
      </c>
      <c r="K14" s="36" t="s">
        <v>219</v>
      </c>
      <c r="L14" s="36" t="s">
        <v>242</v>
      </c>
    </row>
    <row r="15">
      <c r="A15" s="114">
        <v>46132.0</v>
      </c>
      <c r="B15" s="36" t="s">
        <v>66</v>
      </c>
      <c r="C15" s="44">
        <v>24.0</v>
      </c>
      <c r="D15" s="44">
        <v>15.0</v>
      </c>
      <c r="E15" s="44">
        <v>8.0</v>
      </c>
      <c r="F15" s="44">
        <v>0.0</v>
      </c>
      <c r="G15" s="44">
        <v>1.0</v>
      </c>
      <c r="H15" s="44">
        <v>3.0</v>
      </c>
      <c r="I15" s="41">
        <v>46133.25395351852</v>
      </c>
      <c r="J15" s="36">
        <v>4.01869395E8</v>
      </c>
      <c r="K15" s="36" t="s">
        <v>219</v>
      </c>
      <c r="L15" s="36" t="s">
        <v>243</v>
      </c>
    </row>
    <row r="16">
      <c r="A16" s="114">
        <v>46132.0</v>
      </c>
      <c r="B16" s="36" t="s">
        <v>72</v>
      </c>
      <c r="C16" s="44">
        <v>30.0</v>
      </c>
      <c r="D16" s="44">
        <v>7.0</v>
      </c>
      <c r="E16" s="44">
        <v>7.0</v>
      </c>
      <c r="F16" s="44">
        <v>1.0</v>
      </c>
      <c r="G16" s="44">
        <v>0.0</v>
      </c>
      <c r="H16" s="44">
        <v>4.0</v>
      </c>
      <c r="I16" s="41">
        <v>46133.25395475695</v>
      </c>
      <c r="J16" s="36">
        <v>4.01869395E8</v>
      </c>
      <c r="K16" s="36" t="s">
        <v>219</v>
      </c>
      <c r="L16" s="36" t="s">
        <v>244</v>
      </c>
    </row>
    <row r="17">
      <c r="A17" s="114"/>
      <c r="B17" s="36"/>
      <c r="C17" s="36"/>
      <c r="D17" s="36"/>
      <c r="E17" s="36"/>
      <c r="F17" s="36"/>
      <c r="G17" s="36"/>
      <c r="H17" s="36"/>
      <c r="I17" s="41"/>
      <c r="J17" s="36"/>
      <c r="K17" s="36"/>
      <c r="L17" s="36"/>
    </row>
    <row r="18">
      <c r="A18" s="114"/>
      <c r="B18" s="36"/>
      <c r="C18" s="36"/>
      <c r="D18" s="36"/>
      <c r="E18" s="36"/>
      <c r="F18" s="36"/>
      <c r="G18" s="36"/>
      <c r="H18" s="36"/>
      <c r="I18" s="41"/>
      <c r="J18" s="36"/>
      <c r="K18" s="36"/>
      <c r="L18" s="36"/>
    </row>
    <row r="19">
      <c r="A19" s="114"/>
      <c r="B19" s="36"/>
      <c r="C19" s="36"/>
      <c r="D19" s="36"/>
      <c r="E19" s="36"/>
      <c r="F19" s="36"/>
      <c r="G19" s="36"/>
      <c r="H19" s="36"/>
      <c r="I19" s="41"/>
      <c r="J19" s="36"/>
      <c r="K19" s="36"/>
      <c r="L19" s="36"/>
    </row>
    <row r="20">
      <c r="A20" s="114"/>
      <c r="B20" s="36"/>
      <c r="C20" s="36"/>
      <c r="D20" s="36"/>
      <c r="E20" s="36"/>
      <c r="F20" s="36"/>
      <c r="G20" s="36"/>
      <c r="H20" s="36"/>
      <c r="I20" s="41"/>
      <c r="J20" s="36"/>
      <c r="K20" s="36"/>
      <c r="L20" s="36"/>
    </row>
    <row r="21">
      <c r="A21" s="114"/>
      <c r="B21" s="36"/>
      <c r="C21" s="36"/>
      <c r="D21" s="36"/>
      <c r="E21" s="36"/>
      <c r="F21" s="36"/>
      <c r="G21" s="36"/>
      <c r="H21" s="36"/>
      <c r="I21" s="41"/>
      <c r="J21" s="36"/>
      <c r="K21" s="36"/>
      <c r="L21" s="36"/>
    </row>
    <row r="22">
      <c r="A22" s="114"/>
      <c r="B22" s="36"/>
      <c r="C22" s="36"/>
      <c r="D22" s="36"/>
      <c r="E22" s="36"/>
      <c r="F22" s="36"/>
      <c r="G22" s="36"/>
      <c r="H22" s="36"/>
      <c r="I22" s="41"/>
      <c r="J22" s="36"/>
      <c r="K22" s="36"/>
      <c r="L22" s="36"/>
    </row>
    <row r="23">
      <c r="A23" s="114"/>
      <c r="B23" s="36"/>
      <c r="C23" s="36"/>
      <c r="D23" s="36"/>
      <c r="E23" s="36"/>
      <c r="F23" s="36"/>
      <c r="G23" s="36"/>
      <c r="H23" s="36"/>
      <c r="I23" s="41"/>
      <c r="J23" s="36"/>
      <c r="K23" s="36"/>
      <c r="L23" s="36"/>
    </row>
    <row r="24">
      <c r="A24" s="114"/>
      <c r="B24" s="36"/>
      <c r="C24" s="36"/>
      <c r="D24" s="36"/>
      <c r="E24" s="36"/>
      <c r="F24" s="36"/>
      <c r="G24" s="36"/>
      <c r="H24" s="36"/>
      <c r="I24" s="41"/>
      <c r="J24" s="36"/>
      <c r="K24" s="36"/>
      <c r="L24" s="36"/>
    </row>
    <row r="25">
      <c r="A25" s="114"/>
      <c r="B25" s="36"/>
      <c r="C25" s="44"/>
      <c r="D25" s="44"/>
      <c r="E25" s="44"/>
      <c r="F25" s="44"/>
      <c r="G25" s="44"/>
      <c r="H25" s="44"/>
      <c r="I25" s="41"/>
      <c r="J25" s="36"/>
      <c r="K25" s="36"/>
      <c r="L25" s="36"/>
    </row>
    <row r="26">
      <c r="A26" s="114"/>
      <c r="B26" s="36"/>
      <c r="C26" s="44"/>
      <c r="D26" s="44"/>
      <c r="E26" s="44"/>
      <c r="F26" s="44"/>
      <c r="G26" s="44"/>
      <c r="H26" s="44"/>
      <c r="I26" s="41"/>
      <c r="J26" s="36"/>
      <c r="K26" s="36"/>
      <c r="L26" s="36"/>
    </row>
    <row r="27">
      <c r="A27" s="114"/>
      <c r="B27" s="36"/>
      <c r="C27" s="44"/>
      <c r="D27" s="44"/>
      <c r="E27" s="44"/>
      <c r="F27" s="44"/>
      <c r="G27" s="44"/>
      <c r="H27" s="44"/>
      <c r="I27" s="41"/>
      <c r="J27" s="36"/>
      <c r="K27" s="36"/>
      <c r="L27" s="36"/>
    </row>
    <row r="28">
      <c r="A28" s="114"/>
      <c r="B28" s="36"/>
      <c r="C28" s="44"/>
      <c r="D28" s="44"/>
      <c r="E28" s="44"/>
      <c r="F28" s="44"/>
      <c r="G28" s="44"/>
      <c r="H28" s="44"/>
      <c r="I28" s="41"/>
      <c r="J28" s="36"/>
      <c r="K28" s="36"/>
      <c r="L28" s="36"/>
    </row>
    <row r="29">
      <c r="A29" s="114"/>
      <c r="B29" s="36"/>
      <c r="C29" s="44"/>
      <c r="D29" s="44"/>
      <c r="E29" s="44"/>
      <c r="F29" s="44"/>
      <c r="G29" s="44"/>
      <c r="H29" s="44"/>
      <c r="I29" s="41"/>
      <c r="J29" s="36"/>
      <c r="K29" s="36"/>
      <c r="L29" s="36"/>
    </row>
    <row r="30">
      <c r="A30" s="114"/>
      <c r="B30" s="36"/>
      <c r="C30" s="36"/>
      <c r="D30" s="36"/>
      <c r="E30" s="36"/>
      <c r="F30" s="36"/>
      <c r="G30" s="36"/>
      <c r="H30" s="36"/>
      <c r="I30" s="41"/>
      <c r="J30" s="36"/>
      <c r="K30" s="36"/>
      <c r="L30" s="36"/>
    </row>
    <row r="31">
      <c r="A31" s="114"/>
      <c r="B31" s="36"/>
      <c r="C31" s="36"/>
      <c r="D31" s="36"/>
      <c r="E31" s="36"/>
      <c r="F31" s="36"/>
      <c r="G31" s="36"/>
      <c r="H31" s="36"/>
      <c r="I31" s="41"/>
      <c r="J31" s="36"/>
      <c r="K31" s="36"/>
      <c r="L31" s="36"/>
    </row>
    <row r="32">
      <c r="A32" s="114"/>
      <c r="B32" s="36"/>
      <c r="C32" s="36"/>
      <c r="D32" s="36"/>
      <c r="E32" s="36"/>
      <c r="F32" s="36"/>
      <c r="G32" s="36"/>
      <c r="H32" s="36"/>
      <c r="I32" s="41"/>
      <c r="J32" s="36"/>
      <c r="K32" s="36"/>
      <c r="L32" s="36"/>
    </row>
    <row r="33">
      <c r="A33" s="114"/>
      <c r="B33" s="36"/>
      <c r="C33" s="36"/>
      <c r="D33" s="36"/>
      <c r="E33" s="36"/>
      <c r="F33" s="36"/>
      <c r="G33" s="36"/>
      <c r="H33" s="36"/>
      <c r="I33" s="41"/>
      <c r="J33" s="36"/>
      <c r="K33" s="36"/>
      <c r="L33" s="36"/>
    </row>
    <row r="34">
      <c r="A34" s="114"/>
      <c r="B34" s="36"/>
      <c r="C34" s="36"/>
      <c r="D34" s="36"/>
      <c r="E34" s="36"/>
      <c r="F34" s="36"/>
      <c r="G34" s="36"/>
      <c r="H34" s="36"/>
      <c r="I34" s="41"/>
      <c r="J34" s="36"/>
      <c r="K34" s="36"/>
      <c r="L34" s="36"/>
    </row>
    <row r="35">
      <c r="A35" s="114"/>
      <c r="B35" s="36"/>
      <c r="C35" s="36"/>
      <c r="D35" s="36"/>
      <c r="E35" s="36"/>
      <c r="F35" s="36"/>
      <c r="G35" s="36"/>
      <c r="H35" s="36"/>
      <c r="I35" s="41"/>
      <c r="J35" s="36"/>
      <c r="K35" s="36"/>
      <c r="L35" s="36"/>
    </row>
    <row r="36">
      <c r="A36" s="114"/>
      <c r="B36" s="36"/>
      <c r="C36" s="36"/>
      <c r="D36" s="36"/>
      <c r="E36" s="36"/>
      <c r="F36" s="36"/>
      <c r="G36" s="36"/>
      <c r="H36" s="36"/>
      <c r="I36" s="41"/>
      <c r="J36" s="36"/>
      <c r="K36" s="36"/>
      <c r="L36" s="36"/>
    </row>
    <row r="37">
      <c r="A37" s="114"/>
      <c r="B37" s="36"/>
      <c r="C37" s="36"/>
      <c r="D37" s="36"/>
      <c r="E37" s="36"/>
      <c r="F37" s="36"/>
      <c r="G37" s="36"/>
      <c r="H37" s="36"/>
      <c r="I37" s="41"/>
      <c r="J37" s="36"/>
      <c r="K37" s="36"/>
      <c r="L37" s="36"/>
    </row>
    <row r="38">
      <c r="A38" s="114"/>
      <c r="B38" s="36"/>
      <c r="C38" s="36"/>
      <c r="D38" s="36"/>
      <c r="E38" s="36"/>
      <c r="F38" s="36"/>
      <c r="G38" s="36"/>
      <c r="H38" s="36"/>
      <c r="I38" s="41"/>
      <c r="J38" s="36"/>
      <c r="K38" s="36"/>
      <c r="L38" s="36"/>
    </row>
    <row r="39">
      <c r="A39" s="114"/>
      <c r="B39" s="36"/>
      <c r="C39" s="44"/>
      <c r="D39" s="44"/>
      <c r="E39" s="44"/>
      <c r="F39" s="44"/>
      <c r="G39" s="44"/>
      <c r="H39" s="44"/>
      <c r="I39" s="41"/>
      <c r="J39" s="36"/>
      <c r="K39" s="36"/>
      <c r="L39" s="36"/>
    </row>
    <row r="40">
      <c r="A40" s="114"/>
      <c r="B40" s="36"/>
      <c r="C40" s="44"/>
      <c r="D40" s="44"/>
      <c r="E40" s="44"/>
      <c r="F40" s="44"/>
      <c r="G40" s="44"/>
      <c r="H40" s="44"/>
      <c r="I40" s="41"/>
      <c r="J40" s="36"/>
      <c r="K40" s="36"/>
      <c r="L40" s="36"/>
    </row>
    <row r="41">
      <c r="A41" s="114"/>
      <c r="B41" s="36"/>
      <c r="C41" s="36"/>
      <c r="D41" s="36"/>
      <c r="E41" s="36"/>
      <c r="F41" s="36"/>
      <c r="G41" s="36"/>
      <c r="H41" s="36"/>
      <c r="I41" s="41"/>
      <c r="J41" s="36"/>
      <c r="K41" s="36"/>
      <c r="L41" s="36"/>
    </row>
    <row r="42">
      <c r="A42" s="114"/>
      <c r="B42" s="36"/>
      <c r="C42" s="36"/>
      <c r="D42" s="36"/>
      <c r="E42" s="36"/>
      <c r="F42" s="36"/>
      <c r="G42" s="36"/>
      <c r="H42" s="36"/>
      <c r="I42" s="41"/>
      <c r="J42" s="36"/>
      <c r="K42" s="36"/>
      <c r="L42" s="36"/>
    </row>
    <row r="43">
      <c r="A43" s="114"/>
      <c r="B43" s="36"/>
      <c r="C43" s="36"/>
      <c r="D43" s="36"/>
      <c r="E43" s="36"/>
      <c r="F43" s="36"/>
      <c r="G43" s="36"/>
      <c r="H43" s="36"/>
      <c r="I43" s="41"/>
      <c r="J43" s="36"/>
      <c r="K43" s="36"/>
      <c r="L43" s="36"/>
    </row>
    <row r="44">
      <c r="A44" s="114"/>
      <c r="B44" s="36"/>
      <c r="C44" s="36"/>
      <c r="D44" s="36"/>
      <c r="E44" s="36"/>
      <c r="F44" s="36"/>
      <c r="G44" s="36"/>
      <c r="H44" s="36"/>
      <c r="I44" s="41"/>
      <c r="J44" s="36"/>
      <c r="K44" s="36"/>
      <c r="L44" s="36"/>
    </row>
    <row r="45">
      <c r="A45" s="114"/>
      <c r="B45" s="36"/>
      <c r="C45" s="36"/>
      <c r="D45" s="36"/>
      <c r="E45" s="36"/>
      <c r="F45" s="36"/>
      <c r="G45" s="36"/>
      <c r="H45" s="36"/>
      <c r="I45" s="41"/>
      <c r="J45" s="36"/>
      <c r="K45" s="36"/>
      <c r="L45" s="36"/>
    </row>
    <row r="46">
      <c r="A46" s="114"/>
      <c r="B46" s="36"/>
      <c r="C46" s="36"/>
      <c r="D46" s="36"/>
      <c r="E46" s="36"/>
      <c r="F46" s="36"/>
      <c r="G46" s="36"/>
      <c r="H46" s="36"/>
      <c r="I46" s="41"/>
      <c r="J46" s="36"/>
      <c r="K46" s="36"/>
      <c r="L46" s="36"/>
    </row>
    <row r="47">
      <c r="A47" s="114"/>
      <c r="B47" s="36"/>
      <c r="C47" s="36"/>
      <c r="D47" s="36"/>
      <c r="E47" s="36"/>
      <c r="F47" s="36"/>
      <c r="G47" s="36"/>
      <c r="H47" s="36"/>
      <c r="I47" s="41"/>
      <c r="J47" s="36"/>
      <c r="K47" s="36"/>
      <c r="L47" s="36"/>
    </row>
    <row r="48">
      <c r="A48" s="114"/>
      <c r="B48" s="36"/>
      <c r="C48" s="36"/>
      <c r="D48" s="36"/>
      <c r="E48" s="36"/>
      <c r="F48" s="36"/>
      <c r="G48" s="36"/>
      <c r="H48" s="36"/>
      <c r="I48" s="41"/>
      <c r="J48" s="36"/>
      <c r="K48" s="36"/>
      <c r="L48" s="36"/>
    </row>
    <row r="49">
      <c r="A49" s="114"/>
      <c r="B49" s="36"/>
      <c r="C49" s="36"/>
      <c r="D49" s="36"/>
      <c r="E49" s="36"/>
      <c r="F49" s="36"/>
      <c r="G49" s="36"/>
      <c r="H49" s="36"/>
      <c r="I49" s="41"/>
      <c r="J49" s="36"/>
      <c r="K49" s="36"/>
      <c r="L49" s="36"/>
    </row>
    <row r="50">
      <c r="A50" s="114"/>
      <c r="B50" s="36"/>
      <c r="C50" s="44"/>
      <c r="D50" s="44"/>
      <c r="E50" s="44"/>
      <c r="F50" s="44"/>
      <c r="G50" s="44"/>
      <c r="H50" s="44"/>
      <c r="I50" s="41"/>
      <c r="J50" s="36"/>
      <c r="K50" s="36"/>
      <c r="L50" s="36"/>
    </row>
    <row r="51">
      <c r="A51" s="114"/>
      <c r="B51" s="36"/>
      <c r="C51" s="44"/>
      <c r="D51" s="44"/>
      <c r="E51" s="44"/>
      <c r="F51" s="44"/>
      <c r="G51" s="44"/>
      <c r="H51" s="44"/>
      <c r="I51" s="41"/>
      <c r="J51" s="36"/>
      <c r="K51" s="36"/>
      <c r="L51" s="36"/>
    </row>
    <row r="52">
      <c r="A52" s="114"/>
      <c r="B52" s="36"/>
      <c r="C52" s="36"/>
      <c r="D52" s="36"/>
      <c r="E52" s="36"/>
      <c r="F52" s="36"/>
      <c r="G52" s="36"/>
      <c r="H52" s="36"/>
      <c r="I52" s="41"/>
      <c r="J52" s="36"/>
      <c r="K52" s="36"/>
      <c r="L52" s="36"/>
    </row>
    <row r="53">
      <c r="A53" s="114"/>
      <c r="B53" s="36"/>
      <c r="C53" s="36"/>
      <c r="D53" s="36"/>
      <c r="E53" s="36"/>
      <c r="F53" s="36"/>
      <c r="G53" s="36"/>
      <c r="H53" s="36"/>
      <c r="I53" s="41"/>
      <c r="J53" s="36"/>
      <c r="K53" s="36"/>
      <c r="L53" s="36"/>
    </row>
    <row r="54">
      <c r="A54" s="114"/>
      <c r="B54" s="36"/>
      <c r="C54" s="36"/>
      <c r="D54" s="36"/>
      <c r="E54" s="36"/>
      <c r="F54" s="36"/>
      <c r="G54" s="36"/>
      <c r="H54" s="36"/>
      <c r="I54" s="41"/>
      <c r="J54" s="36"/>
      <c r="K54" s="36"/>
      <c r="L54" s="36"/>
    </row>
    <row r="55">
      <c r="A55" s="114"/>
      <c r="B55" s="36"/>
      <c r="C55" s="36"/>
      <c r="D55" s="36"/>
      <c r="E55" s="36"/>
      <c r="F55" s="36"/>
      <c r="G55" s="36"/>
      <c r="H55" s="36"/>
      <c r="I55" s="41"/>
      <c r="J55" s="36"/>
      <c r="K55" s="36"/>
      <c r="L55" s="36"/>
    </row>
    <row r="56">
      <c r="A56" s="114"/>
      <c r="B56" s="36"/>
      <c r="C56" s="36"/>
      <c r="D56" s="36"/>
      <c r="E56" s="36"/>
      <c r="F56" s="36"/>
      <c r="G56" s="36"/>
      <c r="H56" s="36"/>
      <c r="I56" s="41"/>
      <c r="J56" s="36"/>
      <c r="K56" s="36"/>
      <c r="L56" s="36"/>
    </row>
    <row r="57">
      <c r="A57" s="114"/>
      <c r="B57" s="36"/>
      <c r="C57" s="36"/>
      <c r="D57" s="36"/>
      <c r="E57" s="36"/>
      <c r="F57" s="36"/>
      <c r="G57" s="36"/>
      <c r="H57" s="36"/>
      <c r="I57" s="41"/>
      <c r="J57" s="36"/>
      <c r="K57" s="36"/>
      <c r="L57" s="36"/>
    </row>
    <row r="58">
      <c r="A58" s="114"/>
      <c r="B58" s="36"/>
      <c r="C58" s="36"/>
      <c r="D58" s="36"/>
      <c r="E58" s="36"/>
      <c r="F58" s="36"/>
      <c r="G58" s="36"/>
      <c r="H58" s="36"/>
      <c r="I58" s="41"/>
      <c r="J58" s="36"/>
      <c r="K58" s="36"/>
      <c r="L58" s="36"/>
    </row>
    <row r="59">
      <c r="A59" s="114"/>
      <c r="B59" s="36"/>
      <c r="C59" s="36"/>
      <c r="D59" s="36"/>
      <c r="E59" s="36"/>
      <c r="F59" s="36"/>
      <c r="G59" s="36"/>
      <c r="H59" s="36"/>
      <c r="I59" s="41"/>
      <c r="J59" s="36"/>
      <c r="K59" s="36"/>
      <c r="L59" s="36"/>
    </row>
    <row r="60">
      <c r="A60" s="114"/>
      <c r="B60" s="36"/>
      <c r="C60" s="36"/>
      <c r="D60" s="36"/>
      <c r="E60" s="36"/>
      <c r="F60" s="36"/>
      <c r="G60" s="36"/>
      <c r="H60" s="36"/>
      <c r="I60" s="41"/>
      <c r="J60" s="36"/>
      <c r="K60" s="36"/>
      <c r="L60" s="36"/>
    </row>
    <row r="61">
      <c r="A61" s="114"/>
      <c r="B61" s="36"/>
      <c r="C61" s="36"/>
      <c r="D61" s="36"/>
      <c r="E61" s="36"/>
      <c r="F61" s="36"/>
      <c r="G61" s="36"/>
      <c r="H61" s="36"/>
      <c r="I61" s="41"/>
      <c r="J61" s="36"/>
      <c r="K61" s="36"/>
      <c r="L61" s="36"/>
    </row>
    <row r="62">
      <c r="A62" s="114"/>
      <c r="B62" s="36"/>
      <c r="C62" s="36"/>
      <c r="D62" s="36"/>
      <c r="E62" s="36"/>
      <c r="F62" s="36"/>
      <c r="G62" s="36"/>
      <c r="H62" s="36"/>
      <c r="I62" s="41"/>
      <c r="J62" s="36"/>
      <c r="K62" s="36"/>
      <c r="L62" s="36"/>
    </row>
    <row r="63">
      <c r="A63" s="114"/>
      <c r="B63" s="36"/>
      <c r="C63" s="36"/>
      <c r="D63" s="36"/>
      <c r="E63" s="36"/>
      <c r="F63" s="36"/>
      <c r="G63" s="36"/>
      <c r="H63" s="36"/>
      <c r="I63" s="41"/>
      <c r="J63" s="36"/>
      <c r="K63" s="36"/>
      <c r="L63" s="36"/>
    </row>
    <row r="64">
      <c r="A64" s="114"/>
      <c r="B64" s="36"/>
      <c r="C64" s="36"/>
      <c r="D64" s="36"/>
      <c r="E64" s="36"/>
      <c r="F64" s="36"/>
      <c r="G64" s="36"/>
      <c r="H64" s="36"/>
      <c r="I64" s="41"/>
      <c r="J64" s="36"/>
      <c r="K64" s="36"/>
      <c r="L64" s="36"/>
    </row>
    <row r="65">
      <c r="A65" s="114"/>
      <c r="B65" s="36"/>
      <c r="C65" s="36"/>
      <c r="D65" s="36"/>
      <c r="E65" s="36"/>
      <c r="F65" s="36"/>
      <c r="G65" s="36"/>
      <c r="H65" s="36"/>
      <c r="I65" s="41"/>
      <c r="J65" s="36"/>
      <c r="K65" s="36"/>
      <c r="L65" s="36"/>
    </row>
    <row r="66">
      <c r="A66" s="114"/>
      <c r="B66" s="36"/>
      <c r="C66" s="36"/>
      <c r="D66" s="36"/>
      <c r="E66" s="36"/>
      <c r="F66" s="36"/>
      <c r="G66" s="36"/>
      <c r="H66" s="36"/>
      <c r="I66" s="41"/>
      <c r="J66" s="36"/>
      <c r="K66" s="36"/>
      <c r="L66" s="36"/>
    </row>
    <row r="67">
      <c r="A67" s="114"/>
      <c r="B67" s="36"/>
      <c r="C67" s="36"/>
      <c r="D67" s="36"/>
      <c r="E67" s="36"/>
      <c r="F67" s="36"/>
      <c r="G67" s="36"/>
      <c r="H67" s="36"/>
      <c r="I67" s="41"/>
      <c r="J67" s="36"/>
      <c r="K67" s="36"/>
      <c r="L67" s="36"/>
    </row>
    <row r="68">
      <c r="A68" s="114"/>
      <c r="B68" s="36"/>
      <c r="C68" s="36"/>
      <c r="D68" s="36"/>
      <c r="E68" s="36"/>
      <c r="F68" s="36"/>
      <c r="G68" s="36"/>
      <c r="H68" s="36"/>
      <c r="I68" s="41"/>
      <c r="J68" s="36"/>
      <c r="K68" s="36"/>
      <c r="L68" s="36"/>
    </row>
    <row r="69">
      <c r="A69" s="114"/>
      <c r="B69" s="36"/>
      <c r="C69" s="36"/>
      <c r="D69" s="36"/>
      <c r="E69" s="36"/>
      <c r="F69" s="36"/>
      <c r="G69" s="36"/>
      <c r="H69" s="36"/>
      <c r="I69" s="41"/>
      <c r="J69" s="36"/>
      <c r="K69" s="36"/>
      <c r="L69" s="36"/>
    </row>
    <row r="70">
      <c r="A70" s="114"/>
      <c r="B70" s="36"/>
      <c r="C70" s="36"/>
      <c r="D70" s="36"/>
      <c r="E70" s="36"/>
      <c r="F70" s="36"/>
      <c r="G70" s="36"/>
      <c r="H70" s="36"/>
      <c r="I70" s="41"/>
      <c r="J70" s="36"/>
      <c r="K70" s="36"/>
      <c r="L70" s="36"/>
    </row>
    <row r="71">
      <c r="A71" s="114"/>
      <c r="B71" s="36"/>
      <c r="C71" s="36"/>
      <c r="D71" s="36"/>
      <c r="E71" s="36"/>
      <c r="F71" s="36"/>
      <c r="G71" s="36"/>
      <c r="H71" s="36"/>
      <c r="I71" s="41"/>
      <c r="J71" s="36"/>
      <c r="K71" s="36"/>
      <c r="L71" s="36"/>
    </row>
    <row r="72">
      <c r="A72" s="114"/>
      <c r="B72" s="36"/>
      <c r="C72" s="36"/>
      <c r="D72" s="36"/>
      <c r="E72" s="36"/>
      <c r="F72" s="36"/>
      <c r="G72" s="36"/>
      <c r="H72" s="36"/>
      <c r="I72" s="41"/>
      <c r="J72" s="36"/>
      <c r="K72" s="36"/>
      <c r="L72" s="36"/>
    </row>
    <row r="73">
      <c r="A73" s="114"/>
      <c r="B73" s="36"/>
      <c r="C73" s="36"/>
      <c r="D73" s="36"/>
      <c r="E73" s="36"/>
      <c r="F73" s="36"/>
      <c r="G73" s="36"/>
      <c r="H73" s="36"/>
      <c r="I73" s="41"/>
      <c r="J73" s="36"/>
      <c r="K73" s="36"/>
      <c r="L73" s="36"/>
    </row>
    <row r="74">
      <c r="A74" s="114"/>
      <c r="B74" s="36"/>
      <c r="C74" s="36"/>
      <c r="D74" s="36"/>
      <c r="E74" s="36"/>
      <c r="F74" s="36"/>
      <c r="G74" s="36"/>
      <c r="H74" s="36"/>
      <c r="I74" s="41"/>
      <c r="J74" s="36"/>
      <c r="K74" s="36"/>
      <c r="L74" s="36"/>
    </row>
    <row r="75">
      <c r="A75" s="114"/>
      <c r="B75" s="36"/>
      <c r="C75" s="36"/>
      <c r="D75" s="36"/>
      <c r="E75" s="36"/>
      <c r="F75" s="36"/>
      <c r="G75" s="36"/>
      <c r="H75" s="36"/>
      <c r="I75" s="41"/>
      <c r="J75" s="36"/>
      <c r="K75" s="36"/>
      <c r="L75" s="36"/>
    </row>
    <row r="76">
      <c r="A76" s="114"/>
      <c r="B76" s="36"/>
      <c r="C76" s="44"/>
      <c r="D76" s="44"/>
      <c r="E76" s="44"/>
      <c r="F76" s="44"/>
      <c r="G76" s="44"/>
      <c r="H76" s="44"/>
      <c r="I76" s="41"/>
      <c r="J76" s="36"/>
      <c r="K76" s="36"/>
      <c r="L76" s="36"/>
    </row>
    <row r="77">
      <c r="A77" s="114"/>
      <c r="B77" s="36"/>
      <c r="C77" s="44"/>
      <c r="D77" s="44"/>
      <c r="E77" s="44"/>
      <c r="F77" s="44"/>
      <c r="G77" s="44"/>
      <c r="H77" s="44"/>
      <c r="I77" s="41"/>
      <c r="J77" s="36"/>
      <c r="K77" s="36"/>
      <c r="L77" s="36"/>
    </row>
    <row r="78">
      <c r="A78" s="114"/>
      <c r="B78" s="36"/>
      <c r="C78" s="44"/>
      <c r="D78" s="44"/>
      <c r="E78" s="44"/>
      <c r="F78" s="44"/>
      <c r="G78" s="44"/>
      <c r="H78" s="44"/>
      <c r="I78" s="41"/>
      <c r="J78" s="36"/>
      <c r="K78" s="36"/>
      <c r="L78" s="36"/>
    </row>
    <row r="79">
      <c r="A79" s="114"/>
      <c r="B79" s="36"/>
      <c r="C79" s="36"/>
      <c r="D79" s="36"/>
      <c r="E79" s="36"/>
      <c r="F79" s="36"/>
      <c r="G79" s="36"/>
      <c r="H79" s="36"/>
      <c r="I79" s="41"/>
      <c r="J79" s="36"/>
      <c r="K79" s="36"/>
      <c r="L79" s="36"/>
    </row>
    <row r="80">
      <c r="A80" s="114"/>
      <c r="B80" s="36"/>
      <c r="C80" s="36"/>
      <c r="D80" s="36"/>
      <c r="E80" s="36"/>
      <c r="F80" s="36"/>
      <c r="G80" s="36"/>
      <c r="H80" s="36"/>
      <c r="I80" s="41"/>
      <c r="J80" s="36"/>
      <c r="K80" s="36"/>
      <c r="L80" s="36"/>
    </row>
    <row r="81">
      <c r="A81" s="114"/>
      <c r="B81" s="36"/>
      <c r="C81" s="36"/>
      <c r="D81" s="36"/>
      <c r="E81" s="36"/>
      <c r="F81" s="36"/>
      <c r="G81" s="36"/>
      <c r="H81" s="36"/>
      <c r="I81" s="41"/>
      <c r="J81" s="36"/>
      <c r="K81" s="36"/>
      <c r="L81" s="36"/>
    </row>
    <row r="82">
      <c r="A82" s="114"/>
      <c r="B82" s="36"/>
      <c r="C82" s="36"/>
      <c r="D82" s="36"/>
      <c r="E82" s="36"/>
      <c r="F82" s="36"/>
      <c r="G82" s="36"/>
      <c r="H82" s="36"/>
      <c r="I82" s="41"/>
      <c r="J82" s="36"/>
      <c r="K82" s="36"/>
      <c r="L82" s="36"/>
    </row>
    <row r="83">
      <c r="A83" s="114"/>
      <c r="B83" s="36"/>
      <c r="C83" s="36"/>
      <c r="D83" s="36"/>
      <c r="E83" s="36"/>
      <c r="F83" s="36"/>
      <c r="G83" s="36"/>
      <c r="H83" s="36"/>
      <c r="I83" s="41"/>
      <c r="J83" s="36"/>
      <c r="K83" s="36"/>
      <c r="L83" s="36"/>
    </row>
    <row r="84">
      <c r="A84" s="114"/>
      <c r="B84" s="36"/>
      <c r="C84" s="36"/>
      <c r="D84" s="36"/>
      <c r="E84" s="36"/>
      <c r="F84" s="36"/>
      <c r="G84" s="36"/>
      <c r="H84" s="36"/>
      <c r="I84" s="41"/>
      <c r="J84" s="36"/>
      <c r="K84" s="36"/>
      <c r="L84" s="36"/>
    </row>
    <row r="85">
      <c r="A85" s="114"/>
      <c r="B85" s="36"/>
      <c r="C85" s="36"/>
      <c r="D85" s="36"/>
      <c r="E85" s="36"/>
      <c r="F85" s="36"/>
      <c r="G85" s="36"/>
      <c r="H85" s="36"/>
      <c r="I85" s="41"/>
      <c r="J85" s="36"/>
      <c r="K85" s="36"/>
      <c r="L85" s="36"/>
    </row>
    <row r="86">
      <c r="A86" s="114"/>
      <c r="B86" s="36"/>
      <c r="C86" s="36"/>
      <c r="D86" s="36"/>
      <c r="E86" s="36"/>
      <c r="F86" s="36"/>
      <c r="G86" s="36"/>
      <c r="H86" s="36"/>
      <c r="I86" s="41"/>
      <c r="J86" s="36"/>
      <c r="K86" s="36"/>
      <c r="L86" s="36"/>
    </row>
    <row r="87">
      <c r="A87" s="114"/>
      <c r="B87" s="36"/>
      <c r="C87" s="36"/>
      <c r="D87" s="36"/>
      <c r="E87" s="36"/>
      <c r="F87" s="36"/>
      <c r="G87" s="36"/>
      <c r="H87" s="36"/>
      <c r="I87" s="41"/>
      <c r="J87" s="36"/>
      <c r="K87" s="36"/>
      <c r="L87" s="36"/>
    </row>
    <row r="88">
      <c r="A88" s="114"/>
      <c r="B88" s="36"/>
      <c r="C88" s="44"/>
      <c r="D88" s="44"/>
      <c r="E88" s="44"/>
      <c r="F88" s="44"/>
      <c r="G88" s="44"/>
      <c r="H88" s="44"/>
      <c r="I88" s="41"/>
      <c r="J88" s="36"/>
      <c r="K88" s="36"/>
      <c r="L88" s="36"/>
    </row>
    <row r="89">
      <c r="A89" s="114"/>
      <c r="B89" s="36"/>
      <c r="C89" s="44"/>
      <c r="D89" s="44"/>
      <c r="E89" s="44"/>
      <c r="F89" s="44"/>
      <c r="G89" s="44"/>
      <c r="H89" s="44"/>
      <c r="I89" s="41"/>
      <c r="J89" s="36"/>
      <c r="K89" s="36"/>
      <c r="L89" s="36"/>
    </row>
    <row r="90">
      <c r="A90" s="114"/>
      <c r="B90" s="36"/>
      <c r="C90" s="44"/>
      <c r="D90" s="44"/>
      <c r="E90" s="44"/>
      <c r="F90" s="44"/>
      <c r="G90" s="44"/>
      <c r="H90" s="44"/>
      <c r="I90" s="41"/>
      <c r="J90" s="36"/>
      <c r="K90" s="36"/>
      <c r="L90" s="36"/>
    </row>
    <row r="91">
      <c r="A91" s="114"/>
      <c r="B91" s="36"/>
      <c r="C91" s="36"/>
      <c r="D91" s="36"/>
      <c r="E91" s="36"/>
      <c r="F91" s="36"/>
      <c r="G91" s="36"/>
      <c r="H91" s="36"/>
      <c r="I91" s="41"/>
      <c r="J91" s="36"/>
      <c r="K91" s="36"/>
      <c r="L91" s="36"/>
    </row>
    <row r="92">
      <c r="A92" s="114"/>
      <c r="B92" s="36"/>
      <c r="C92" s="36"/>
      <c r="D92" s="36"/>
      <c r="E92" s="36"/>
      <c r="F92" s="36"/>
      <c r="G92" s="36"/>
      <c r="H92" s="36"/>
      <c r="I92" s="41"/>
      <c r="J92" s="36"/>
      <c r="K92" s="36"/>
      <c r="L92" s="36"/>
    </row>
    <row r="93">
      <c r="A93" s="114"/>
      <c r="B93" s="36"/>
      <c r="C93" s="36"/>
      <c r="D93" s="36"/>
      <c r="E93" s="36"/>
      <c r="F93" s="36"/>
      <c r="G93" s="36"/>
      <c r="H93" s="36"/>
      <c r="I93" s="41"/>
      <c r="J93" s="36"/>
      <c r="K93" s="36"/>
      <c r="L93" s="36"/>
    </row>
    <row r="94">
      <c r="A94" s="114"/>
      <c r="B94" s="36"/>
      <c r="C94" s="36"/>
      <c r="D94" s="36"/>
      <c r="E94" s="36"/>
      <c r="F94" s="36"/>
      <c r="G94" s="36"/>
      <c r="H94" s="36"/>
      <c r="I94" s="41"/>
      <c r="J94" s="36"/>
      <c r="K94" s="36"/>
      <c r="L94" s="36"/>
    </row>
    <row r="95">
      <c r="A95" s="114"/>
      <c r="B95" s="36"/>
      <c r="C95" s="36"/>
      <c r="D95" s="36"/>
      <c r="E95" s="36"/>
      <c r="F95" s="36"/>
      <c r="G95" s="36"/>
      <c r="H95" s="36"/>
      <c r="I95" s="41"/>
      <c r="J95" s="36"/>
      <c r="K95" s="36"/>
      <c r="L95" s="36"/>
    </row>
    <row r="96">
      <c r="A96" s="114"/>
      <c r="B96" s="36"/>
      <c r="C96" s="36"/>
      <c r="D96" s="36"/>
      <c r="E96" s="36"/>
      <c r="F96" s="36"/>
      <c r="G96" s="36"/>
      <c r="H96" s="36"/>
      <c r="I96" s="41"/>
      <c r="J96" s="36"/>
      <c r="K96" s="36"/>
      <c r="L96" s="36"/>
    </row>
    <row r="97">
      <c r="A97" s="114"/>
      <c r="B97" s="36"/>
      <c r="C97" s="36"/>
      <c r="D97" s="36"/>
      <c r="E97" s="36"/>
      <c r="F97" s="36"/>
      <c r="G97" s="36"/>
      <c r="H97" s="36"/>
      <c r="I97" s="41"/>
      <c r="J97" s="36"/>
      <c r="K97" s="36"/>
      <c r="L97" s="36"/>
    </row>
    <row r="98">
      <c r="A98" s="114"/>
      <c r="B98" s="36"/>
      <c r="C98" s="36"/>
      <c r="D98" s="36"/>
      <c r="E98" s="36"/>
      <c r="F98" s="36"/>
      <c r="G98" s="36"/>
      <c r="H98" s="36"/>
      <c r="I98" s="41"/>
      <c r="J98" s="36"/>
      <c r="K98" s="36"/>
      <c r="L98" s="36"/>
    </row>
    <row r="99">
      <c r="A99" s="114"/>
      <c r="B99" s="36"/>
      <c r="C99" s="36"/>
      <c r="D99" s="36"/>
      <c r="E99" s="36"/>
      <c r="F99" s="36"/>
      <c r="G99" s="36"/>
      <c r="H99" s="36"/>
      <c r="I99" s="41"/>
      <c r="J99" s="36"/>
      <c r="K99" s="36"/>
      <c r="L99" s="36"/>
    </row>
    <row r="100">
      <c r="A100" s="114"/>
      <c r="B100" s="36"/>
      <c r="C100" s="36"/>
      <c r="D100" s="36"/>
      <c r="E100" s="36"/>
      <c r="F100" s="36"/>
      <c r="G100" s="36"/>
      <c r="H100" s="36"/>
      <c r="I100" s="41"/>
      <c r="J100" s="36"/>
      <c r="K100" s="36"/>
      <c r="L100" s="36"/>
    </row>
    <row r="101">
      <c r="A101" s="114"/>
      <c r="B101" s="36"/>
      <c r="C101" s="36"/>
      <c r="D101" s="36"/>
      <c r="E101" s="36"/>
      <c r="F101" s="36"/>
      <c r="G101" s="36"/>
      <c r="H101" s="36"/>
      <c r="I101" s="41"/>
      <c r="J101" s="36"/>
      <c r="K101" s="36"/>
      <c r="L101" s="36"/>
    </row>
    <row r="102">
      <c r="A102" s="114"/>
      <c r="B102" s="36"/>
      <c r="C102" s="36"/>
      <c r="D102" s="36"/>
      <c r="E102" s="36"/>
      <c r="F102" s="36"/>
      <c r="G102" s="36"/>
      <c r="H102" s="36"/>
      <c r="I102" s="41"/>
      <c r="J102" s="36"/>
      <c r="K102" s="36"/>
      <c r="L102" s="36"/>
    </row>
    <row r="103">
      <c r="A103" s="114"/>
      <c r="B103" s="36"/>
      <c r="C103" s="36"/>
      <c r="D103" s="36"/>
      <c r="E103" s="36"/>
      <c r="F103" s="36"/>
      <c r="G103" s="36"/>
      <c r="H103" s="36"/>
      <c r="I103" s="41"/>
      <c r="J103" s="36"/>
      <c r="K103" s="36"/>
      <c r="L103" s="36"/>
    </row>
    <row r="104">
      <c r="A104" s="114"/>
      <c r="B104" s="36"/>
      <c r="C104" s="44"/>
      <c r="D104" s="44"/>
      <c r="E104" s="44"/>
      <c r="F104" s="44"/>
      <c r="G104" s="44"/>
      <c r="H104" s="44"/>
      <c r="I104" s="41"/>
      <c r="J104" s="36"/>
      <c r="K104" s="36"/>
      <c r="L104" s="36"/>
    </row>
    <row r="105">
      <c r="A105" s="114"/>
      <c r="B105" s="36"/>
      <c r="C105" s="36"/>
      <c r="D105" s="36"/>
      <c r="E105" s="36"/>
      <c r="F105" s="36"/>
      <c r="G105" s="36"/>
      <c r="H105" s="36"/>
      <c r="I105" s="41"/>
      <c r="J105" s="36"/>
      <c r="K105" s="36"/>
      <c r="L105" s="36"/>
    </row>
    <row r="106">
      <c r="A106" s="114"/>
      <c r="B106" s="36"/>
      <c r="C106" s="36"/>
      <c r="D106" s="36"/>
      <c r="E106" s="36"/>
      <c r="F106" s="36"/>
      <c r="G106" s="36"/>
      <c r="H106" s="36"/>
      <c r="I106" s="41"/>
      <c r="J106" s="36"/>
      <c r="K106" s="36"/>
      <c r="L106" s="36"/>
    </row>
    <row r="107">
      <c r="A107" s="114"/>
      <c r="B107" s="36"/>
      <c r="C107" s="36"/>
      <c r="D107" s="36"/>
      <c r="E107" s="36"/>
      <c r="F107" s="36"/>
      <c r="G107" s="36"/>
      <c r="H107" s="36"/>
      <c r="I107" s="41"/>
      <c r="J107" s="36"/>
      <c r="K107" s="36"/>
      <c r="L107" s="36"/>
    </row>
    <row r="108">
      <c r="A108" s="114"/>
      <c r="B108" s="36"/>
      <c r="C108" s="36"/>
      <c r="D108" s="36"/>
      <c r="E108" s="36"/>
      <c r="F108" s="36"/>
      <c r="G108" s="36"/>
      <c r="H108" s="36"/>
      <c r="I108" s="41"/>
      <c r="J108" s="36"/>
      <c r="K108" s="36"/>
      <c r="L108" s="36"/>
    </row>
    <row r="109">
      <c r="A109" s="114"/>
      <c r="B109" s="36"/>
      <c r="C109" s="36"/>
      <c r="D109" s="36"/>
      <c r="E109" s="36"/>
      <c r="F109" s="36"/>
      <c r="G109" s="36"/>
      <c r="H109" s="36"/>
      <c r="I109" s="41"/>
      <c r="J109" s="36"/>
      <c r="K109" s="36"/>
      <c r="L109" s="36"/>
    </row>
    <row r="110">
      <c r="A110" s="114"/>
      <c r="B110" s="36"/>
      <c r="C110" s="36"/>
      <c r="D110" s="36"/>
      <c r="E110" s="36"/>
      <c r="F110" s="36"/>
      <c r="G110" s="36"/>
      <c r="H110" s="36"/>
      <c r="I110" s="41"/>
      <c r="J110" s="36"/>
      <c r="K110" s="36"/>
      <c r="L110" s="36"/>
    </row>
    <row r="111">
      <c r="A111" s="114"/>
      <c r="B111" s="36"/>
      <c r="C111" s="36"/>
      <c r="D111" s="36"/>
      <c r="E111" s="36"/>
      <c r="F111" s="36"/>
      <c r="G111" s="36"/>
      <c r="H111" s="36"/>
      <c r="I111" s="41"/>
      <c r="J111" s="36"/>
      <c r="K111" s="36"/>
      <c r="L111" s="36"/>
    </row>
    <row r="112">
      <c r="A112" s="114"/>
      <c r="B112" s="36"/>
      <c r="C112" s="36"/>
      <c r="D112" s="36"/>
      <c r="E112" s="36"/>
      <c r="F112" s="36"/>
      <c r="G112" s="36"/>
      <c r="H112" s="36"/>
      <c r="I112" s="41"/>
      <c r="J112" s="36"/>
      <c r="K112" s="36"/>
      <c r="L112" s="36"/>
    </row>
    <row r="113">
      <c r="A113" s="114"/>
      <c r="B113" s="36"/>
      <c r="C113" s="36"/>
      <c r="D113" s="36"/>
      <c r="E113" s="36"/>
      <c r="F113" s="36"/>
      <c r="G113" s="36"/>
      <c r="H113" s="36"/>
      <c r="I113" s="41"/>
      <c r="J113" s="36"/>
      <c r="K113" s="36"/>
      <c r="L113" s="36"/>
    </row>
    <row r="114">
      <c r="A114" s="114"/>
      <c r="B114" s="36"/>
      <c r="C114" s="36"/>
      <c r="D114" s="36"/>
      <c r="E114" s="36"/>
      <c r="F114" s="36"/>
      <c r="G114" s="36"/>
      <c r="H114" s="36"/>
      <c r="I114" s="41"/>
      <c r="J114" s="36"/>
      <c r="K114" s="36"/>
      <c r="L114" s="36"/>
    </row>
    <row r="115">
      <c r="A115" s="114"/>
      <c r="B115" s="36"/>
      <c r="C115" s="36"/>
      <c r="D115" s="36"/>
      <c r="E115" s="36"/>
      <c r="F115" s="36"/>
      <c r="G115" s="36"/>
      <c r="H115" s="36"/>
      <c r="I115" s="41"/>
      <c r="J115" s="36"/>
      <c r="K115" s="36"/>
      <c r="L115" s="36"/>
    </row>
    <row r="116">
      <c r="A116" s="114"/>
      <c r="B116" s="36"/>
      <c r="C116" s="36"/>
      <c r="D116" s="36"/>
      <c r="E116" s="36"/>
      <c r="F116" s="36"/>
      <c r="G116" s="36"/>
      <c r="H116" s="36"/>
      <c r="I116" s="41"/>
      <c r="J116" s="36"/>
      <c r="K116" s="36"/>
      <c r="L116" s="36"/>
    </row>
    <row r="117">
      <c r="A117" s="114"/>
      <c r="B117" s="36"/>
      <c r="C117" s="36"/>
      <c r="D117" s="36"/>
      <c r="E117" s="36"/>
      <c r="F117" s="36"/>
      <c r="G117" s="36"/>
      <c r="H117" s="36"/>
      <c r="I117" s="41"/>
      <c r="J117" s="36"/>
      <c r="K117" s="36"/>
      <c r="L117" s="36"/>
    </row>
    <row r="118">
      <c r="A118" s="114"/>
      <c r="B118" s="36"/>
      <c r="C118" s="44"/>
      <c r="D118" s="44"/>
      <c r="E118" s="44"/>
      <c r="F118" s="44"/>
      <c r="G118" s="44"/>
      <c r="H118" s="44"/>
      <c r="I118" s="41"/>
      <c r="J118" s="36"/>
      <c r="K118" s="36"/>
      <c r="L118" s="36"/>
    </row>
    <row r="119">
      <c r="A119" s="114"/>
      <c r="B119" s="36"/>
      <c r="C119" s="44"/>
      <c r="D119" s="44"/>
      <c r="E119" s="44"/>
      <c r="F119" s="44"/>
      <c r="G119" s="44"/>
      <c r="H119" s="44"/>
      <c r="I119" s="41"/>
      <c r="J119" s="36"/>
      <c r="K119" s="36"/>
      <c r="L119" s="36"/>
    </row>
    <row r="120">
      <c r="A120" s="114"/>
      <c r="B120" s="36"/>
      <c r="C120" s="36"/>
      <c r="D120" s="36"/>
      <c r="E120" s="36"/>
      <c r="F120" s="36"/>
      <c r="G120" s="36"/>
      <c r="H120" s="36"/>
      <c r="I120" s="41"/>
      <c r="J120" s="36"/>
      <c r="K120" s="36"/>
      <c r="L120" s="36"/>
    </row>
    <row r="121">
      <c r="A121" s="114"/>
      <c r="B121" s="36"/>
      <c r="C121" s="36"/>
      <c r="D121" s="36"/>
      <c r="E121" s="36"/>
      <c r="F121" s="36"/>
      <c r="G121" s="36"/>
      <c r="H121" s="36"/>
      <c r="I121" s="41"/>
      <c r="J121" s="36"/>
      <c r="K121" s="36"/>
      <c r="L121" s="36"/>
    </row>
    <row r="122">
      <c r="A122" s="114"/>
      <c r="B122" s="36"/>
      <c r="C122" s="36"/>
      <c r="D122" s="36"/>
      <c r="E122" s="36"/>
      <c r="F122" s="36"/>
      <c r="G122" s="36"/>
      <c r="H122" s="36"/>
      <c r="I122" s="41"/>
      <c r="J122" s="36"/>
      <c r="K122" s="36"/>
      <c r="L122" s="36"/>
    </row>
    <row r="123">
      <c r="A123" s="114"/>
      <c r="B123" s="36"/>
      <c r="C123" s="36"/>
      <c r="D123" s="36"/>
      <c r="E123" s="36"/>
      <c r="F123" s="36"/>
      <c r="G123" s="36"/>
      <c r="H123" s="36"/>
      <c r="I123" s="41"/>
      <c r="J123" s="36"/>
      <c r="K123" s="36"/>
      <c r="L123" s="36"/>
    </row>
    <row r="124">
      <c r="A124" s="114"/>
      <c r="B124" s="36"/>
      <c r="C124" s="36"/>
      <c r="D124" s="36"/>
      <c r="E124" s="36"/>
      <c r="F124" s="36"/>
      <c r="G124" s="36"/>
      <c r="H124" s="36"/>
      <c r="I124" s="41"/>
      <c r="J124" s="36"/>
      <c r="K124" s="36"/>
      <c r="L124" s="36"/>
    </row>
    <row r="125">
      <c r="A125" s="114"/>
      <c r="B125" s="36"/>
      <c r="C125" s="36"/>
      <c r="D125" s="36"/>
      <c r="E125" s="36"/>
      <c r="F125" s="36"/>
      <c r="G125" s="36"/>
      <c r="H125" s="36"/>
      <c r="I125" s="41"/>
      <c r="J125" s="36"/>
      <c r="K125" s="36"/>
      <c r="L125" s="36"/>
    </row>
    <row r="126">
      <c r="A126" s="114"/>
      <c r="B126" s="36"/>
      <c r="C126" s="36"/>
      <c r="D126" s="36"/>
      <c r="E126" s="36"/>
      <c r="F126" s="36"/>
      <c r="G126" s="36"/>
      <c r="H126" s="36"/>
      <c r="I126" s="41"/>
      <c r="J126" s="36"/>
      <c r="K126" s="36"/>
      <c r="L126" s="36"/>
    </row>
    <row r="127">
      <c r="A127" s="114"/>
      <c r="B127" s="36"/>
      <c r="C127" s="36"/>
      <c r="D127" s="36"/>
      <c r="E127" s="36"/>
      <c r="F127" s="36"/>
      <c r="G127" s="36"/>
      <c r="H127" s="36"/>
      <c r="I127" s="41"/>
      <c r="J127" s="36"/>
      <c r="K127" s="36"/>
      <c r="L127" s="36"/>
    </row>
    <row r="128">
      <c r="A128" s="114"/>
      <c r="B128" s="36"/>
      <c r="C128" s="36"/>
      <c r="D128" s="36"/>
      <c r="E128" s="36"/>
      <c r="F128" s="36"/>
      <c r="G128" s="36"/>
      <c r="H128" s="36"/>
      <c r="I128" s="41"/>
      <c r="J128" s="36"/>
      <c r="K128" s="36"/>
      <c r="L128" s="36"/>
    </row>
    <row r="129">
      <c r="A129" s="114"/>
      <c r="B129" s="36"/>
      <c r="C129" s="36"/>
      <c r="D129" s="36"/>
      <c r="E129" s="36"/>
      <c r="F129" s="36"/>
      <c r="G129" s="36"/>
      <c r="H129" s="36"/>
      <c r="I129" s="41"/>
      <c r="J129" s="36"/>
      <c r="K129" s="36"/>
      <c r="L129" s="36"/>
    </row>
    <row r="130">
      <c r="A130" s="114"/>
      <c r="B130" s="36"/>
      <c r="C130" s="36"/>
      <c r="D130" s="36"/>
      <c r="E130" s="36"/>
      <c r="F130" s="36"/>
      <c r="G130" s="36"/>
      <c r="H130" s="36"/>
      <c r="I130" s="41"/>
      <c r="J130" s="36"/>
      <c r="K130" s="36"/>
      <c r="L130" s="36"/>
    </row>
    <row r="131">
      <c r="A131" s="114"/>
      <c r="B131" s="36"/>
      <c r="C131" s="36"/>
      <c r="D131" s="36"/>
      <c r="E131" s="36"/>
      <c r="F131" s="36"/>
      <c r="G131" s="36"/>
      <c r="H131" s="36"/>
      <c r="I131" s="41"/>
      <c r="J131" s="36"/>
      <c r="K131" s="36"/>
      <c r="L131" s="36"/>
    </row>
    <row r="132">
      <c r="A132" s="114"/>
      <c r="B132" s="36"/>
      <c r="C132" s="36"/>
      <c r="D132" s="36"/>
      <c r="E132" s="36"/>
      <c r="F132" s="36"/>
      <c r="G132" s="36"/>
      <c r="H132" s="36"/>
      <c r="I132" s="41"/>
      <c r="J132" s="36"/>
      <c r="K132" s="36"/>
      <c r="L132" s="36"/>
    </row>
    <row r="133">
      <c r="A133" s="114"/>
      <c r="B133" s="36"/>
      <c r="C133" s="36"/>
      <c r="D133" s="36"/>
      <c r="E133" s="36"/>
      <c r="F133" s="36"/>
      <c r="G133" s="36"/>
      <c r="H133" s="36"/>
      <c r="I133" s="41"/>
      <c r="J133" s="36"/>
      <c r="K133" s="36"/>
      <c r="L133" s="36"/>
    </row>
    <row r="134">
      <c r="A134" s="114"/>
      <c r="B134" s="36"/>
      <c r="C134" s="36"/>
      <c r="D134" s="36"/>
      <c r="E134" s="36"/>
      <c r="F134" s="36"/>
      <c r="G134" s="36"/>
      <c r="H134" s="36"/>
      <c r="I134" s="41"/>
      <c r="J134" s="36"/>
      <c r="K134" s="36"/>
      <c r="L134" s="36"/>
    </row>
    <row r="135">
      <c r="A135" s="114"/>
      <c r="B135" s="36"/>
      <c r="C135" s="36"/>
      <c r="D135" s="36"/>
      <c r="E135" s="36"/>
      <c r="F135" s="36"/>
      <c r="G135" s="36"/>
      <c r="H135" s="36"/>
      <c r="I135" s="41"/>
      <c r="J135" s="36"/>
      <c r="K135" s="36"/>
      <c r="L135" s="36"/>
    </row>
    <row r="136">
      <c r="A136" s="114"/>
      <c r="B136" s="36"/>
      <c r="C136" s="36"/>
      <c r="D136" s="36"/>
      <c r="E136" s="36"/>
      <c r="F136" s="36"/>
      <c r="G136" s="36"/>
      <c r="H136" s="36"/>
      <c r="I136" s="41"/>
      <c r="J136" s="36"/>
      <c r="K136" s="36"/>
      <c r="L136" s="36"/>
    </row>
    <row r="137">
      <c r="A137" s="114"/>
      <c r="B137" s="36"/>
      <c r="C137" s="36"/>
      <c r="D137" s="36"/>
      <c r="E137" s="36"/>
      <c r="F137" s="36"/>
      <c r="G137" s="36"/>
      <c r="H137" s="36"/>
      <c r="I137" s="41"/>
      <c r="J137" s="36"/>
      <c r="K137" s="36"/>
      <c r="L137" s="36"/>
    </row>
    <row r="138">
      <c r="A138" s="114"/>
      <c r="B138" s="36"/>
      <c r="C138" s="36"/>
      <c r="D138" s="36"/>
      <c r="E138" s="36"/>
      <c r="F138" s="36"/>
      <c r="G138" s="36"/>
      <c r="H138" s="36"/>
      <c r="I138" s="41"/>
      <c r="J138" s="36"/>
      <c r="K138" s="36"/>
      <c r="L138" s="36"/>
    </row>
    <row r="139">
      <c r="A139" s="114"/>
      <c r="B139" s="36"/>
      <c r="C139" s="44"/>
      <c r="D139" s="44"/>
      <c r="E139" s="44"/>
      <c r="F139" s="44"/>
      <c r="G139" s="44"/>
      <c r="H139" s="44"/>
      <c r="I139" s="41"/>
      <c r="J139" s="36"/>
      <c r="K139" s="36"/>
      <c r="L139" s="36"/>
    </row>
    <row r="140">
      <c r="A140" s="114"/>
      <c r="B140" s="36"/>
      <c r="C140" s="44"/>
      <c r="D140" s="44"/>
      <c r="E140" s="44"/>
      <c r="F140" s="44"/>
      <c r="G140" s="44"/>
      <c r="H140" s="44"/>
      <c r="I140" s="41"/>
      <c r="J140" s="36"/>
      <c r="K140" s="36"/>
      <c r="L140" s="36"/>
    </row>
    <row r="141">
      <c r="A141" s="114"/>
      <c r="B141" s="36"/>
      <c r="C141" s="44"/>
      <c r="D141" s="44"/>
      <c r="E141" s="44"/>
      <c r="F141" s="44"/>
      <c r="G141" s="44"/>
      <c r="H141" s="44"/>
      <c r="I141" s="41"/>
      <c r="J141" s="36"/>
      <c r="K141" s="36"/>
      <c r="L141" s="36"/>
    </row>
    <row r="142">
      <c r="A142" s="114"/>
      <c r="B142" s="36"/>
      <c r="C142" s="36"/>
      <c r="D142" s="36"/>
      <c r="E142" s="36"/>
      <c r="F142" s="36"/>
      <c r="G142" s="36"/>
      <c r="H142" s="36"/>
      <c r="I142" s="41"/>
      <c r="J142" s="36"/>
      <c r="K142" s="36"/>
      <c r="L142" s="36"/>
    </row>
    <row r="143">
      <c r="A143" s="114"/>
      <c r="B143" s="36"/>
      <c r="C143" s="36"/>
      <c r="D143" s="36"/>
      <c r="E143" s="36"/>
      <c r="F143" s="36"/>
      <c r="G143" s="36"/>
      <c r="H143" s="36"/>
      <c r="I143" s="41"/>
      <c r="J143" s="36"/>
      <c r="K143" s="36"/>
      <c r="L143" s="36"/>
    </row>
    <row r="144">
      <c r="A144" s="114"/>
      <c r="B144" s="36"/>
      <c r="C144" s="36"/>
      <c r="D144" s="36"/>
      <c r="E144" s="36"/>
      <c r="F144" s="36"/>
      <c r="G144" s="36"/>
      <c r="H144" s="36"/>
      <c r="I144" s="41"/>
      <c r="J144" s="36"/>
      <c r="K144" s="36"/>
      <c r="L144" s="36"/>
    </row>
    <row r="145">
      <c r="A145" s="114"/>
      <c r="B145" s="36"/>
      <c r="C145" s="36"/>
      <c r="D145" s="36"/>
      <c r="E145" s="36"/>
      <c r="F145" s="36"/>
      <c r="G145" s="36"/>
      <c r="H145" s="36"/>
      <c r="I145" s="41"/>
      <c r="J145" s="36"/>
      <c r="K145" s="36"/>
      <c r="L145" s="36"/>
    </row>
    <row r="146">
      <c r="A146" s="114"/>
      <c r="B146" s="36"/>
      <c r="C146" s="36"/>
      <c r="D146" s="36"/>
      <c r="E146" s="36"/>
      <c r="F146" s="36"/>
      <c r="G146" s="36"/>
      <c r="H146" s="36"/>
      <c r="I146" s="41"/>
      <c r="J146" s="36"/>
      <c r="K146" s="36"/>
      <c r="L146" s="36"/>
    </row>
    <row r="147">
      <c r="A147" s="114"/>
      <c r="B147" s="36"/>
      <c r="C147" s="36"/>
      <c r="D147" s="36"/>
      <c r="E147" s="36"/>
      <c r="F147" s="36"/>
      <c r="G147" s="36"/>
      <c r="H147" s="36"/>
      <c r="I147" s="41"/>
      <c r="J147" s="36"/>
      <c r="K147" s="36"/>
      <c r="L147" s="36"/>
    </row>
    <row r="148">
      <c r="A148" s="114"/>
      <c r="B148" s="36"/>
      <c r="C148" s="36"/>
      <c r="D148" s="36"/>
      <c r="E148" s="36"/>
      <c r="F148" s="36"/>
      <c r="G148" s="36"/>
      <c r="H148" s="36"/>
      <c r="I148" s="41"/>
      <c r="J148" s="36"/>
      <c r="K148" s="36"/>
      <c r="L148" s="36"/>
    </row>
    <row r="149">
      <c r="A149" s="114"/>
      <c r="B149" s="36"/>
      <c r="C149" s="36"/>
      <c r="D149" s="36"/>
      <c r="E149" s="36"/>
      <c r="F149" s="36"/>
      <c r="G149" s="36"/>
      <c r="H149" s="36"/>
      <c r="I149" s="41"/>
      <c r="J149" s="36"/>
      <c r="K149" s="36"/>
      <c r="L149" s="36"/>
    </row>
    <row r="150">
      <c r="A150" s="114"/>
      <c r="B150" s="36"/>
      <c r="C150" s="36"/>
      <c r="D150" s="36"/>
      <c r="E150" s="36"/>
      <c r="F150" s="36"/>
      <c r="G150" s="36"/>
      <c r="H150" s="36"/>
      <c r="I150" s="41"/>
      <c r="J150" s="36"/>
      <c r="K150" s="36"/>
      <c r="L150" s="36"/>
    </row>
    <row r="151">
      <c r="A151" s="114"/>
      <c r="B151" s="36"/>
      <c r="C151" s="36"/>
      <c r="D151" s="36"/>
      <c r="E151" s="36"/>
      <c r="F151" s="36"/>
      <c r="G151" s="36"/>
      <c r="H151" s="36"/>
      <c r="I151" s="41"/>
      <c r="J151" s="36"/>
      <c r="K151" s="36"/>
      <c r="L151" s="36"/>
    </row>
    <row r="152">
      <c r="A152" s="114"/>
      <c r="B152" s="36"/>
      <c r="C152" s="36"/>
      <c r="D152" s="36"/>
      <c r="E152" s="36"/>
      <c r="F152" s="36"/>
      <c r="G152" s="36"/>
      <c r="H152" s="36"/>
      <c r="I152" s="41"/>
      <c r="J152" s="36"/>
      <c r="K152" s="36"/>
      <c r="L152" s="36"/>
    </row>
    <row r="153">
      <c r="A153" s="114"/>
      <c r="B153" s="36"/>
      <c r="C153" s="36"/>
      <c r="D153" s="36"/>
      <c r="E153" s="36"/>
      <c r="F153" s="36"/>
      <c r="G153" s="36"/>
      <c r="H153" s="36"/>
      <c r="I153" s="41"/>
      <c r="J153" s="36"/>
      <c r="K153" s="36"/>
      <c r="L153" s="36"/>
    </row>
    <row r="154">
      <c r="A154" s="114"/>
      <c r="B154" s="36"/>
      <c r="C154" s="36"/>
      <c r="D154" s="36"/>
      <c r="E154" s="36"/>
      <c r="F154" s="36"/>
      <c r="G154" s="36"/>
      <c r="H154" s="36"/>
      <c r="I154" s="41"/>
      <c r="J154" s="36"/>
      <c r="K154" s="36"/>
      <c r="L154" s="36"/>
    </row>
    <row r="155">
      <c r="A155" s="114"/>
      <c r="B155" s="36"/>
      <c r="C155" s="36"/>
      <c r="D155" s="36"/>
      <c r="E155" s="36"/>
      <c r="F155" s="36"/>
      <c r="G155" s="36"/>
      <c r="H155" s="36"/>
      <c r="I155" s="41"/>
      <c r="J155" s="36"/>
      <c r="K155" s="36"/>
      <c r="L155" s="36"/>
    </row>
    <row r="156">
      <c r="A156" s="114"/>
      <c r="B156" s="36"/>
      <c r="C156" s="36"/>
      <c r="D156" s="36"/>
      <c r="E156" s="36"/>
      <c r="F156" s="36"/>
      <c r="G156" s="36"/>
      <c r="H156" s="36"/>
      <c r="I156" s="41"/>
      <c r="J156" s="36"/>
      <c r="K156" s="36"/>
      <c r="L156" s="36"/>
    </row>
    <row r="157">
      <c r="A157" s="114"/>
      <c r="B157" s="36"/>
      <c r="C157" s="36"/>
      <c r="D157" s="36"/>
      <c r="E157" s="36"/>
      <c r="F157" s="36"/>
      <c r="G157" s="36"/>
      <c r="H157" s="36"/>
      <c r="I157" s="41"/>
      <c r="J157" s="36"/>
      <c r="K157" s="36"/>
      <c r="L157" s="36"/>
    </row>
    <row r="158">
      <c r="A158" s="114"/>
      <c r="B158" s="36"/>
      <c r="C158" s="36"/>
      <c r="D158" s="36"/>
      <c r="E158" s="36"/>
      <c r="F158" s="36"/>
      <c r="G158" s="36"/>
      <c r="H158" s="36"/>
      <c r="I158" s="41"/>
      <c r="J158" s="36"/>
      <c r="K158" s="36"/>
      <c r="L158" s="36"/>
    </row>
    <row r="159">
      <c r="A159" s="114"/>
      <c r="B159" s="36"/>
      <c r="C159" s="36"/>
      <c r="D159" s="36"/>
      <c r="E159" s="36"/>
      <c r="F159" s="36"/>
      <c r="G159" s="36"/>
      <c r="H159" s="36"/>
      <c r="I159" s="41"/>
      <c r="J159" s="36"/>
      <c r="K159" s="36"/>
      <c r="L159" s="36"/>
    </row>
    <row r="160">
      <c r="A160" s="114"/>
      <c r="B160" s="36"/>
      <c r="C160" s="36"/>
      <c r="D160" s="36"/>
      <c r="E160" s="36"/>
      <c r="F160" s="36"/>
      <c r="G160" s="36"/>
      <c r="H160" s="36"/>
      <c r="I160" s="41"/>
      <c r="J160" s="36"/>
      <c r="K160" s="36"/>
      <c r="L160" s="36"/>
    </row>
    <row r="161">
      <c r="A161" s="114"/>
      <c r="B161" s="36"/>
      <c r="C161" s="36"/>
      <c r="D161" s="36"/>
      <c r="E161" s="36"/>
      <c r="F161" s="36"/>
      <c r="G161" s="36"/>
      <c r="H161" s="36"/>
      <c r="I161" s="41"/>
      <c r="J161" s="36"/>
      <c r="K161" s="36"/>
      <c r="L161" s="36"/>
    </row>
    <row r="162">
      <c r="A162" s="114"/>
      <c r="B162" s="36"/>
      <c r="C162" s="36"/>
      <c r="D162" s="36"/>
      <c r="E162" s="36"/>
      <c r="F162" s="36"/>
      <c r="G162" s="36"/>
      <c r="H162" s="36"/>
      <c r="I162" s="41"/>
      <c r="J162" s="36"/>
      <c r="K162" s="36"/>
      <c r="L162" s="36"/>
    </row>
    <row r="163">
      <c r="A163" s="114"/>
      <c r="B163" s="36"/>
      <c r="C163" s="36"/>
      <c r="D163" s="36"/>
      <c r="E163" s="36"/>
      <c r="F163" s="36"/>
      <c r="G163" s="36"/>
      <c r="H163" s="36"/>
      <c r="I163" s="41"/>
      <c r="J163" s="36"/>
      <c r="K163" s="36"/>
      <c r="L163" s="36"/>
    </row>
    <row r="164">
      <c r="A164" s="114"/>
      <c r="B164" s="36"/>
      <c r="C164" s="36"/>
      <c r="D164" s="36"/>
      <c r="E164" s="36"/>
      <c r="F164" s="36"/>
      <c r="G164" s="36"/>
      <c r="H164" s="36"/>
      <c r="I164" s="41"/>
      <c r="J164" s="36"/>
      <c r="K164" s="36"/>
      <c r="L164" s="36"/>
    </row>
    <row r="165">
      <c r="A165" s="114"/>
      <c r="B165" s="36"/>
      <c r="C165" s="44"/>
      <c r="D165" s="44"/>
      <c r="E165" s="44"/>
      <c r="F165" s="44"/>
      <c r="G165" s="44"/>
      <c r="H165" s="44"/>
      <c r="I165" s="41"/>
      <c r="J165" s="36"/>
      <c r="K165" s="36"/>
      <c r="L165" s="36"/>
    </row>
    <row r="166">
      <c r="A166" s="114"/>
      <c r="B166" s="36"/>
      <c r="C166" s="44"/>
      <c r="D166" s="44"/>
      <c r="E166" s="44"/>
      <c r="F166" s="44"/>
      <c r="G166" s="44"/>
      <c r="H166" s="44"/>
      <c r="I166" s="41"/>
      <c r="J166" s="36"/>
      <c r="K166" s="36"/>
      <c r="L166" s="36"/>
    </row>
    <row r="167">
      <c r="A167" s="114"/>
      <c r="B167" s="36"/>
      <c r="C167" s="44"/>
      <c r="D167" s="44"/>
      <c r="E167" s="44"/>
      <c r="F167" s="44"/>
      <c r="G167" s="44"/>
      <c r="H167" s="44"/>
      <c r="I167" s="41"/>
      <c r="J167" s="36"/>
      <c r="K167" s="36"/>
      <c r="L167" s="36"/>
    </row>
    <row r="168">
      <c r="A168" s="114"/>
      <c r="B168" s="36"/>
      <c r="C168" s="44"/>
      <c r="D168" s="44"/>
      <c r="E168" s="44"/>
      <c r="F168" s="44"/>
      <c r="G168" s="44"/>
      <c r="H168" s="44"/>
      <c r="I168" s="41"/>
      <c r="J168" s="36"/>
      <c r="K168" s="36"/>
      <c r="L168" s="36"/>
    </row>
    <row r="169">
      <c r="A169" s="114"/>
      <c r="B169" s="36"/>
      <c r="C169" s="36"/>
      <c r="D169" s="36"/>
      <c r="E169" s="36"/>
      <c r="F169" s="36"/>
      <c r="G169" s="36"/>
      <c r="H169" s="36"/>
      <c r="I169" s="41"/>
      <c r="J169" s="36"/>
      <c r="K169" s="36"/>
      <c r="L169" s="36"/>
    </row>
    <row r="170">
      <c r="A170" s="114"/>
      <c r="B170" s="36"/>
      <c r="C170" s="36"/>
      <c r="D170" s="36"/>
      <c r="E170" s="36"/>
      <c r="F170" s="36"/>
      <c r="G170" s="36"/>
      <c r="H170" s="36"/>
      <c r="I170" s="41"/>
      <c r="J170" s="36"/>
      <c r="K170" s="36"/>
      <c r="L170" s="36"/>
    </row>
    <row r="171">
      <c r="A171" s="114"/>
      <c r="B171" s="36"/>
      <c r="C171" s="36"/>
      <c r="D171" s="36"/>
      <c r="E171" s="36"/>
      <c r="F171" s="36"/>
      <c r="G171" s="36"/>
      <c r="H171" s="36"/>
      <c r="I171" s="41"/>
      <c r="J171" s="36"/>
      <c r="K171" s="36"/>
      <c r="L171" s="36"/>
    </row>
    <row r="172">
      <c r="A172" s="114"/>
      <c r="B172" s="36"/>
      <c r="C172" s="36"/>
      <c r="D172" s="36"/>
      <c r="E172" s="36"/>
      <c r="F172" s="36"/>
      <c r="G172" s="36"/>
      <c r="H172" s="36"/>
      <c r="I172" s="41"/>
      <c r="J172" s="36"/>
      <c r="K172" s="36"/>
      <c r="L172" s="36"/>
    </row>
    <row r="173">
      <c r="A173" s="114"/>
      <c r="B173" s="36"/>
      <c r="C173" s="36"/>
      <c r="D173" s="36"/>
      <c r="E173" s="36"/>
      <c r="F173" s="36"/>
      <c r="G173" s="36"/>
      <c r="H173" s="36"/>
      <c r="I173" s="41"/>
      <c r="J173" s="36"/>
      <c r="K173" s="36"/>
      <c r="L173" s="36"/>
    </row>
    <row r="174">
      <c r="A174" s="114"/>
      <c r="B174" s="36"/>
      <c r="C174" s="36"/>
      <c r="D174" s="36"/>
      <c r="E174" s="36"/>
      <c r="F174" s="36"/>
      <c r="G174" s="36"/>
      <c r="H174" s="36"/>
      <c r="I174" s="41"/>
      <c r="J174" s="36"/>
      <c r="K174" s="36"/>
      <c r="L174" s="36"/>
    </row>
    <row r="175">
      <c r="A175" s="114"/>
      <c r="B175" s="36"/>
      <c r="C175" s="36"/>
      <c r="D175" s="36"/>
      <c r="E175" s="36"/>
      <c r="F175" s="36"/>
      <c r="G175" s="36"/>
      <c r="H175" s="36"/>
      <c r="I175" s="41"/>
      <c r="J175" s="36"/>
      <c r="K175" s="36"/>
      <c r="L175" s="36"/>
    </row>
    <row r="176">
      <c r="A176" s="114"/>
      <c r="B176" s="36"/>
      <c r="C176" s="36"/>
      <c r="D176" s="36"/>
      <c r="E176" s="36"/>
      <c r="F176" s="36"/>
      <c r="G176" s="36"/>
      <c r="H176" s="36"/>
      <c r="I176" s="41"/>
      <c r="J176" s="36"/>
      <c r="K176" s="36"/>
      <c r="L176" s="36"/>
    </row>
    <row r="177">
      <c r="A177" s="114"/>
      <c r="B177" s="36"/>
      <c r="C177" s="36"/>
      <c r="D177" s="36"/>
      <c r="E177" s="36"/>
      <c r="F177" s="36"/>
      <c r="G177" s="36"/>
      <c r="H177" s="36"/>
      <c r="I177" s="41"/>
      <c r="J177" s="36"/>
      <c r="K177" s="36"/>
      <c r="L177" s="36"/>
    </row>
    <row r="178">
      <c r="A178" s="114"/>
      <c r="B178" s="36"/>
      <c r="C178" s="36"/>
      <c r="D178" s="36"/>
      <c r="E178" s="36"/>
      <c r="F178" s="36"/>
      <c r="G178" s="36"/>
      <c r="H178" s="36"/>
      <c r="I178" s="41"/>
      <c r="J178" s="36"/>
      <c r="K178" s="36"/>
      <c r="L178" s="36"/>
    </row>
    <row r="179">
      <c r="A179" s="114"/>
      <c r="B179" s="36"/>
      <c r="C179" s="36"/>
      <c r="D179" s="36"/>
      <c r="E179" s="36"/>
      <c r="F179" s="36"/>
      <c r="G179" s="36"/>
      <c r="H179" s="36"/>
      <c r="I179" s="41"/>
      <c r="J179" s="36"/>
      <c r="K179" s="36"/>
      <c r="L179" s="36"/>
    </row>
    <row r="180">
      <c r="A180" s="114"/>
      <c r="B180" s="36"/>
      <c r="C180" s="36"/>
      <c r="D180" s="36"/>
      <c r="E180" s="36"/>
      <c r="F180" s="36"/>
      <c r="G180" s="36"/>
      <c r="H180" s="36"/>
      <c r="I180" s="41"/>
      <c r="J180" s="36"/>
      <c r="K180" s="36"/>
      <c r="L180" s="36"/>
    </row>
    <row r="181">
      <c r="A181" s="114"/>
      <c r="B181" s="36"/>
      <c r="C181" s="36"/>
      <c r="D181" s="36"/>
      <c r="E181" s="36"/>
      <c r="F181" s="36"/>
      <c r="G181" s="36"/>
      <c r="H181" s="36"/>
      <c r="I181" s="41"/>
      <c r="J181" s="36"/>
      <c r="K181" s="36"/>
      <c r="L181" s="36"/>
    </row>
    <row r="182">
      <c r="A182" s="114"/>
      <c r="B182" s="36"/>
      <c r="C182" s="36"/>
      <c r="D182" s="36"/>
      <c r="E182" s="36"/>
      <c r="F182" s="36"/>
      <c r="G182" s="36"/>
      <c r="H182" s="36"/>
      <c r="I182" s="41"/>
      <c r="J182" s="36"/>
      <c r="K182" s="36"/>
      <c r="L182" s="36"/>
    </row>
    <row r="183">
      <c r="A183" s="114"/>
      <c r="B183" s="36"/>
      <c r="C183" s="36"/>
      <c r="D183" s="36"/>
      <c r="E183" s="36"/>
      <c r="F183" s="36"/>
      <c r="G183" s="36"/>
      <c r="H183" s="36"/>
      <c r="I183" s="41"/>
      <c r="J183" s="36"/>
      <c r="K183" s="36"/>
      <c r="L183" s="36"/>
    </row>
    <row r="184">
      <c r="A184" s="114"/>
      <c r="B184" s="36"/>
      <c r="C184" s="36"/>
      <c r="D184" s="36"/>
      <c r="E184" s="36"/>
      <c r="F184" s="36"/>
      <c r="G184" s="36"/>
      <c r="H184" s="36"/>
      <c r="I184" s="41"/>
      <c r="J184" s="36"/>
      <c r="K184" s="36"/>
      <c r="L184" s="36"/>
    </row>
    <row r="185">
      <c r="A185" s="114"/>
      <c r="B185" s="36"/>
      <c r="C185" s="36"/>
      <c r="D185" s="36"/>
      <c r="E185" s="36"/>
      <c r="F185" s="36"/>
      <c r="G185" s="36"/>
      <c r="H185" s="36"/>
      <c r="I185" s="41"/>
      <c r="J185" s="36"/>
      <c r="K185" s="36"/>
      <c r="L185" s="36"/>
    </row>
    <row r="186">
      <c r="A186" s="114"/>
      <c r="B186" s="36"/>
      <c r="C186" s="36"/>
      <c r="D186" s="36"/>
      <c r="E186" s="36"/>
      <c r="F186" s="36"/>
      <c r="G186" s="36"/>
      <c r="H186" s="36"/>
      <c r="I186" s="41"/>
      <c r="J186" s="36"/>
      <c r="K186" s="36"/>
      <c r="L186" s="36"/>
    </row>
    <row r="187">
      <c r="A187" s="114"/>
      <c r="B187" s="36"/>
      <c r="C187" s="36"/>
      <c r="D187" s="36"/>
      <c r="E187" s="36"/>
      <c r="F187" s="36"/>
      <c r="G187" s="36"/>
      <c r="H187" s="36"/>
      <c r="I187" s="41"/>
      <c r="J187" s="36"/>
      <c r="K187" s="36"/>
      <c r="L187" s="36"/>
    </row>
    <row r="188">
      <c r="A188" s="114"/>
      <c r="B188" s="36"/>
      <c r="C188" s="36"/>
      <c r="D188" s="36"/>
      <c r="E188" s="36"/>
      <c r="F188" s="36"/>
      <c r="G188" s="36"/>
      <c r="H188" s="36"/>
      <c r="I188" s="41"/>
      <c r="J188" s="36"/>
      <c r="K188" s="36"/>
      <c r="L188" s="36"/>
    </row>
    <row r="189">
      <c r="A189" s="114"/>
      <c r="B189" s="36"/>
      <c r="C189" s="36"/>
      <c r="D189" s="36"/>
      <c r="E189" s="36"/>
      <c r="F189" s="36"/>
      <c r="G189" s="36"/>
      <c r="H189" s="36"/>
      <c r="I189" s="41"/>
      <c r="J189" s="36"/>
      <c r="K189" s="36"/>
      <c r="L189" s="36"/>
    </row>
    <row r="190">
      <c r="A190" s="114"/>
      <c r="B190" s="36"/>
      <c r="C190" s="36"/>
      <c r="D190" s="36"/>
      <c r="E190" s="36"/>
      <c r="F190" s="36"/>
      <c r="G190" s="36"/>
      <c r="H190" s="36"/>
      <c r="I190" s="41"/>
      <c r="J190" s="36"/>
      <c r="K190" s="36"/>
      <c r="L190" s="36"/>
    </row>
    <row r="191">
      <c r="A191" s="114"/>
      <c r="B191" s="36"/>
      <c r="C191" s="36"/>
      <c r="D191" s="36"/>
      <c r="E191" s="36"/>
      <c r="F191" s="36"/>
      <c r="G191" s="36"/>
      <c r="H191" s="36"/>
      <c r="I191" s="41"/>
      <c r="J191" s="36"/>
      <c r="K191" s="36"/>
      <c r="L191" s="36"/>
    </row>
    <row r="192">
      <c r="A192" s="114"/>
      <c r="B192" s="36"/>
      <c r="C192" s="36"/>
      <c r="D192" s="36"/>
      <c r="E192" s="36"/>
      <c r="F192" s="36"/>
      <c r="G192" s="36"/>
      <c r="H192" s="36"/>
      <c r="I192" s="41"/>
      <c r="J192" s="36"/>
      <c r="K192" s="36"/>
      <c r="L192" s="36"/>
    </row>
    <row r="193">
      <c r="A193" s="114"/>
      <c r="B193" s="36"/>
      <c r="C193" s="44"/>
      <c r="D193" s="44"/>
      <c r="E193" s="44"/>
      <c r="F193" s="44"/>
      <c r="G193" s="44"/>
      <c r="H193" s="44"/>
      <c r="I193" s="41"/>
      <c r="J193" s="36"/>
      <c r="K193" s="36"/>
      <c r="L193" s="36"/>
    </row>
    <row r="194">
      <c r="A194" s="114"/>
      <c r="B194" s="36"/>
      <c r="C194" s="44"/>
      <c r="D194" s="44"/>
      <c r="E194" s="44"/>
      <c r="F194" s="44"/>
      <c r="G194" s="44"/>
      <c r="H194" s="44"/>
      <c r="I194" s="41"/>
      <c r="J194" s="36"/>
      <c r="K194" s="36"/>
      <c r="L194" s="36"/>
    </row>
    <row r="195">
      <c r="A195" s="114"/>
      <c r="B195" s="36"/>
      <c r="C195" s="44"/>
      <c r="D195" s="44"/>
      <c r="E195" s="44"/>
      <c r="F195" s="44"/>
      <c r="G195" s="44"/>
      <c r="H195" s="44"/>
      <c r="I195" s="41"/>
      <c r="J195" s="36"/>
      <c r="K195" s="36"/>
      <c r="L195" s="36"/>
    </row>
    <row r="196">
      <c r="A196" s="114"/>
      <c r="B196" s="36"/>
      <c r="C196" s="36"/>
      <c r="D196" s="36"/>
      <c r="E196" s="36"/>
      <c r="F196" s="36"/>
      <c r="G196" s="36"/>
      <c r="H196" s="36"/>
      <c r="I196" s="41"/>
      <c r="J196" s="36"/>
      <c r="K196" s="36"/>
      <c r="L196" s="36"/>
    </row>
    <row r="197">
      <c r="A197" s="114"/>
      <c r="B197" s="36"/>
      <c r="C197" s="36"/>
      <c r="D197" s="36"/>
      <c r="E197" s="36"/>
      <c r="F197" s="36"/>
      <c r="G197" s="36"/>
      <c r="H197" s="36"/>
      <c r="I197" s="41"/>
      <c r="J197" s="36"/>
      <c r="K197" s="36"/>
      <c r="L197" s="36"/>
    </row>
    <row r="198">
      <c r="A198" s="114"/>
      <c r="B198" s="36"/>
      <c r="C198" s="36"/>
      <c r="D198" s="36"/>
      <c r="E198" s="36"/>
      <c r="F198" s="36"/>
      <c r="G198" s="36"/>
      <c r="H198" s="36"/>
      <c r="I198" s="41"/>
      <c r="J198" s="36"/>
      <c r="K198" s="36"/>
      <c r="L198" s="36"/>
    </row>
    <row r="199">
      <c r="A199" s="114"/>
      <c r="B199" s="36"/>
      <c r="C199" s="36"/>
      <c r="D199" s="36"/>
      <c r="E199" s="36"/>
      <c r="F199" s="36"/>
      <c r="G199" s="36"/>
      <c r="H199" s="36"/>
      <c r="I199" s="41"/>
      <c r="J199" s="36"/>
      <c r="K199" s="36"/>
      <c r="L199" s="36"/>
    </row>
    <row r="200">
      <c r="A200" s="114"/>
      <c r="B200" s="36"/>
      <c r="C200" s="36"/>
      <c r="D200" s="36"/>
      <c r="E200" s="36"/>
      <c r="F200" s="36"/>
      <c r="G200" s="36"/>
      <c r="H200" s="36"/>
      <c r="I200" s="41"/>
      <c r="J200" s="36"/>
      <c r="K200" s="36"/>
      <c r="L200" s="36"/>
    </row>
    <row r="201">
      <c r="A201" s="114"/>
      <c r="B201" s="36"/>
      <c r="C201" s="36"/>
      <c r="D201" s="36"/>
      <c r="E201" s="36"/>
      <c r="F201" s="36"/>
      <c r="G201" s="36"/>
      <c r="H201" s="36"/>
      <c r="I201" s="41"/>
      <c r="J201" s="36"/>
      <c r="K201" s="36"/>
      <c r="L201" s="36"/>
    </row>
    <row r="202">
      <c r="A202" s="114"/>
      <c r="B202" s="36"/>
      <c r="C202" s="36"/>
      <c r="D202" s="36"/>
      <c r="E202" s="36"/>
      <c r="F202" s="36"/>
      <c r="G202" s="36"/>
      <c r="H202" s="36"/>
      <c r="I202" s="41"/>
      <c r="J202" s="36"/>
      <c r="K202" s="36"/>
      <c r="L202" s="36"/>
    </row>
    <row r="203">
      <c r="A203" s="114"/>
      <c r="B203" s="36"/>
      <c r="C203" s="36"/>
      <c r="D203" s="36"/>
      <c r="E203" s="36"/>
      <c r="F203" s="36"/>
      <c r="G203" s="36"/>
      <c r="H203" s="36"/>
      <c r="I203" s="41"/>
      <c r="J203" s="36"/>
      <c r="K203" s="36"/>
      <c r="L203" s="36"/>
    </row>
    <row r="204">
      <c r="A204" s="114"/>
      <c r="B204" s="36"/>
      <c r="C204" s="36"/>
      <c r="D204" s="36"/>
      <c r="E204" s="36"/>
      <c r="F204" s="36"/>
      <c r="G204" s="36"/>
      <c r="H204" s="36"/>
      <c r="I204" s="41"/>
      <c r="J204" s="36"/>
      <c r="K204" s="36"/>
      <c r="L204" s="36"/>
    </row>
    <row r="205">
      <c r="A205" s="114"/>
      <c r="B205" s="36"/>
      <c r="C205" s="36"/>
      <c r="D205" s="36"/>
      <c r="E205" s="36"/>
      <c r="F205" s="36"/>
      <c r="G205" s="36"/>
      <c r="H205" s="36"/>
      <c r="I205" s="41"/>
      <c r="J205" s="36"/>
      <c r="K205" s="36"/>
      <c r="L205" s="36"/>
    </row>
    <row r="206">
      <c r="A206" s="114"/>
      <c r="B206" s="36"/>
      <c r="C206" s="44"/>
      <c r="D206" s="44"/>
      <c r="E206" s="44"/>
      <c r="F206" s="44"/>
      <c r="G206" s="44"/>
      <c r="H206" s="44"/>
      <c r="I206" s="41"/>
      <c r="J206" s="36"/>
      <c r="K206" s="36"/>
      <c r="L206" s="36"/>
    </row>
    <row r="207">
      <c r="A207" s="114"/>
      <c r="B207" s="36"/>
      <c r="C207" s="44"/>
      <c r="D207" s="44"/>
      <c r="E207" s="44"/>
      <c r="F207" s="44"/>
      <c r="G207" s="44"/>
      <c r="H207" s="44"/>
      <c r="I207" s="41"/>
      <c r="J207" s="36"/>
      <c r="K207" s="36"/>
      <c r="L207" s="36"/>
    </row>
    <row r="208">
      <c r="A208" s="114"/>
      <c r="B208" s="36"/>
      <c r="C208" s="36"/>
      <c r="D208" s="36"/>
      <c r="E208" s="36"/>
      <c r="F208" s="36"/>
      <c r="G208" s="36"/>
      <c r="H208" s="36"/>
      <c r="I208" s="41"/>
      <c r="J208" s="36"/>
      <c r="K208" s="36"/>
      <c r="L208" s="36"/>
    </row>
    <row r="209">
      <c r="A209" s="114"/>
      <c r="B209" s="36"/>
      <c r="C209" s="36"/>
      <c r="D209" s="36"/>
      <c r="E209" s="36"/>
      <c r="F209" s="36"/>
      <c r="G209" s="36"/>
      <c r="H209" s="36"/>
      <c r="I209" s="41"/>
      <c r="J209" s="36"/>
      <c r="K209" s="36"/>
      <c r="L209" s="36"/>
    </row>
    <row r="210">
      <c r="A210" s="114"/>
      <c r="B210" s="36"/>
      <c r="C210" s="36"/>
      <c r="D210" s="36"/>
      <c r="E210" s="36"/>
      <c r="F210" s="36"/>
      <c r="G210" s="36"/>
      <c r="H210" s="36"/>
      <c r="I210" s="41"/>
      <c r="J210" s="36"/>
      <c r="K210" s="36"/>
      <c r="L210" s="36"/>
    </row>
    <row r="211">
      <c r="A211" s="114"/>
      <c r="B211" s="36"/>
      <c r="C211" s="36"/>
      <c r="D211" s="36"/>
      <c r="E211" s="36"/>
      <c r="F211" s="36"/>
      <c r="G211" s="36"/>
      <c r="H211" s="36"/>
      <c r="I211" s="41"/>
      <c r="J211" s="36"/>
      <c r="K211" s="36"/>
      <c r="L211" s="36"/>
    </row>
    <row r="212">
      <c r="A212" s="114"/>
      <c r="B212" s="36"/>
      <c r="C212" s="36"/>
      <c r="D212" s="36"/>
      <c r="E212" s="36"/>
      <c r="F212" s="36"/>
      <c r="G212" s="36"/>
      <c r="H212" s="36"/>
      <c r="I212" s="41"/>
      <c r="J212" s="36"/>
      <c r="K212" s="36"/>
      <c r="L212" s="36"/>
    </row>
    <row r="213">
      <c r="A213" s="114"/>
      <c r="B213" s="36"/>
      <c r="C213" s="36"/>
      <c r="D213" s="36"/>
      <c r="E213" s="36"/>
      <c r="F213" s="36"/>
      <c r="G213" s="36"/>
      <c r="H213" s="36"/>
      <c r="I213" s="41"/>
      <c r="J213" s="36"/>
      <c r="K213" s="36"/>
      <c r="L213" s="36"/>
    </row>
    <row r="214">
      <c r="A214" s="114"/>
      <c r="B214" s="36"/>
      <c r="C214" s="36"/>
      <c r="D214" s="36"/>
      <c r="E214" s="36"/>
      <c r="F214" s="36"/>
      <c r="G214" s="36"/>
      <c r="H214" s="36"/>
      <c r="I214" s="41"/>
      <c r="J214" s="36"/>
      <c r="K214" s="36"/>
      <c r="L214" s="36"/>
    </row>
    <row r="215">
      <c r="A215" s="114"/>
      <c r="B215" s="36"/>
      <c r="C215" s="44"/>
      <c r="D215" s="44"/>
      <c r="E215" s="44"/>
      <c r="F215" s="44"/>
      <c r="G215" s="44"/>
      <c r="H215" s="44"/>
      <c r="I215" s="41"/>
      <c r="J215" s="36"/>
      <c r="K215" s="36"/>
      <c r="L215" s="36"/>
    </row>
    <row r="216">
      <c r="A216" s="114"/>
      <c r="B216" s="36"/>
      <c r="C216" s="44"/>
      <c r="D216" s="44"/>
      <c r="E216" s="44"/>
      <c r="F216" s="44"/>
      <c r="G216" s="44"/>
      <c r="H216" s="44"/>
      <c r="I216" s="41"/>
      <c r="J216" s="36"/>
      <c r="K216" s="36"/>
      <c r="L216" s="36"/>
    </row>
    <row r="217">
      <c r="A217" s="114"/>
      <c r="B217" s="36"/>
      <c r="C217" s="44"/>
      <c r="D217" s="44"/>
      <c r="E217" s="44"/>
      <c r="F217" s="44"/>
      <c r="G217" s="44"/>
      <c r="H217" s="44"/>
      <c r="I217" s="41"/>
      <c r="J217" s="36"/>
      <c r="K217" s="36"/>
      <c r="L217" s="36"/>
    </row>
    <row r="218">
      <c r="A218" s="114"/>
      <c r="B218" s="36"/>
      <c r="C218" s="44"/>
      <c r="D218" s="44"/>
      <c r="E218" s="44"/>
      <c r="F218" s="44"/>
      <c r="G218" s="44"/>
      <c r="H218" s="44"/>
      <c r="I218" s="41"/>
      <c r="J218" s="36"/>
      <c r="K218" s="36"/>
      <c r="L218" s="36"/>
    </row>
    <row r="219">
      <c r="A219" s="114"/>
      <c r="B219" s="36"/>
      <c r="C219" s="44"/>
      <c r="D219" s="44"/>
      <c r="E219" s="44"/>
      <c r="F219" s="44"/>
      <c r="G219" s="44"/>
      <c r="H219" s="44"/>
      <c r="I219" s="41"/>
      <c r="J219" s="36"/>
      <c r="K219" s="36"/>
      <c r="L219" s="36"/>
    </row>
    <row r="220">
      <c r="A220" s="114"/>
      <c r="B220" s="36"/>
      <c r="C220" s="36"/>
      <c r="D220" s="36"/>
      <c r="E220" s="36"/>
      <c r="F220" s="36"/>
      <c r="G220" s="36"/>
      <c r="H220" s="36"/>
      <c r="I220" s="41"/>
      <c r="J220" s="36"/>
      <c r="K220" s="36"/>
      <c r="L220" s="36"/>
    </row>
    <row r="221">
      <c r="A221" s="114"/>
      <c r="B221" s="36"/>
      <c r="C221" s="36"/>
      <c r="D221" s="36"/>
      <c r="E221" s="36"/>
      <c r="F221" s="36"/>
      <c r="G221" s="36"/>
      <c r="H221" s="36"/>
      <c r="I221" s="41"/>
      <c r="J221" s="36"/>
      <c r="K221" s="36"/>
      <c r="L221" s="36"/>
    </row>
    <row r="222">
      <c r="A222" s="114"/>
      <c r="B222" s="36"/>
      <c r="C222" s="36"/>
      <c r="D222" s="36"/>
      <c r="E222" s="36"/>
      <c r="F222" s="36"/>
      <c r="G222" s="36"/>
      <c r="H222" s="36"/>
      <c r="I222" s="41"/>
      <c r="J222" s="36"/>
      <c r="K222" s="36"/>
      <c r="L222" s="36"/>
    </row>
    <row r="223">
      <c r="A223" s="114"/>
      <c r="B223" s="36"/>
      <c r="C223" s="36"/>
      <c r="D223" s="36"/>
      <c r="E223" s="36"/>
      <c r="F223" s="36"/>
      <c r="G223" s="36"/>
      <c r="H223" s="36"/>
      <c r="I223" s="41"/>
      <c r="J223" s="36"/>
      <c r="K223" s="36"/>
      <c r="L223" s="36"/>
    </row>
    <row r="224">
      <c r="A224" s="114"/>
      <c r="B224" s="36"/>
      <c r="C224" s="36"/>
      <c r="D224" s="36"/>
      <c r="E224" s="36"/>
      <c r="F224" s="36"/>
      <c r="G224" s="36"/>
      <c r="H224" s="36"/>
      <c r="I224" s="41"/>
      <c r="J224" s="36"/>
      <c r="K224" s="36"/>
      <c r="L224" s="36"/>
    </row>
    <row r="225">
      <c r="A225" s="114"/>
      <c r="B225" s="36"/>
      <c r="C225" s="36"/>
      <c r="D225" s="36"/>
      <c r="E225" s="36"/>
      <c r="F225" s="36"/>
      <c r="G225" s="36"/>
      <c r="H225" s="36"/>
      <c r="I225" s="41"/>
      <c r="J225" s="36"/>
      <c r="K225" s="36"/>
      <c r="L225" s="36"/>
    </row>
    <row r="226">
      <c r="A226" s="114"/>
      <c r="B226" s="36"/>
      <c r="C226" s="36"/>
      <c r="D226" s="36"/>
      <c r="E226" s="36"/>
      <c r="F226" s="36"/>
      <c r="G226" s="36"/>
      <c r="H226" s="36"/>
      <c r="I226" s="41"/>
      <c r="J226" s="36"/>
      <c r="K226" s="36"/>
      <c r="L226" s="36"/>
    </row>
    <row r="227">
      <c r="A227" s="114"/>
      <c r="B227" s="36"/>
      <c r="C227" s="36"/>
      <c r="D227" s="36"/>
      <c r="E227" s="36"/>
      <c r="F227" s="36"/>
      <c r="G227" s="36"/>
      <c r="H227" s="36"/>
      <c r="I227" s="41"/>
      <c r="J227" s="36"/>
      <c r="K227" s="36"/>
      <c r="L227" s="36"/>
    </row>
    <row r="228">
      <c r="A228" s="114"/>
      <c r="B228" s="36"/>
      <c r="C228" s="36"/>
      <c r="D228" s="36"/>
      <c r="E228" s="36"/>
      <c r="F228" s="36"/>
      <c r="G228" s="36"/>
      <c r="H228" s="36"/>
      <c r="I228" s="41"/>
      <c r="J228" s="36"/>
      <c r="K228" s="36"/>
      <c r="L228" s="36"/>
    </row>
    <row r="229">
      <c r="A229" s="114"/>
      <c r="B229" s="36"/>
      <c r="C229" s="36"/>
      <c r="D229" s="36"/>
      <c r="E229" s="36"/>
      <c r="F229" s="36"/>
      <c r="G229" s="36"/>
      <c r="H229" s="36"/>
      <c r="I229" s="41"/>
      <c r="J229" s="36"/>
      <c r="K229" s="36"/>
      <c r="L229" s="36"/>
    </row>
    <row r="230">
      <c r="A230" s="114"/>
      <c r="B230" s="36"/>
      <c r="C230" s="44"/>
      <c r="D230" s="44"/>
      <c r="E230" s="44"/>
      <c r="F230" s="44"/>
      <c r="G230" s="44"/>
      <c r="H230" s="44"/>
      <c r="I230" s="41"/>
      <c r="J230" s="36"/>
      <c r="K230" s="36"/>
      <c r="L230" s="36"/>
    </row>
    <row r="231">
      <c r="A231" s="114"/>
      <c r="B231" s="36"/>
      <c r="C231" s="44"/>
      <c r="D231" s="44"/>
      <c r="E231" s="44"/>
      <c r="F231" s="44"/>
      <c r="G231" s="44"/>
      <c r="H231" s="44"/>
      <c r="I231" s="41"/>
      <c r="J231" s="36"/>
      <c r="K231" s="36"/>
      <c r="L231" s="36"/>
    </row>
    <row r="232">
      <c r="A232" s="114"/>
      <c r="B232" s="36"/>
      <c r="C232" s="36"/>
      <c r="D232" s="36"/>
      <c r="E232" s="36"/>
      <c r="F232" s="36"/>
      <c r="G232" s="36"/>
      <c r="H232" s="36"/>
      <c r="I232" s="41"/>
      <c r="J232" s="36"/>
      <c r="K232" s="36"/>
      <c r="L232" s="36"/>
    </row>
    <row r="233">
      <c r="A233" s="114"/>
      <c r="B233" s="36"/>
      <c r="C233" s="36"/>
      <c r="D233" s="36"/>
      <c r="E233" s="36"/>
      <c r="F233" s="36"/>
      <c r="G233" s="36"/>
      <c r="H233" s="36"/>
      <c r="I233" s="41"/>
      <c r="J233" s="36"/>
      <c r="K233" s="36"/>
      <c r="L233" s="36"/>
    </row>
    <row r="234">
      <c r="A234" s="114"/>
      <c r="B234" s="36"/>
      <c r="C234" s="36"/>
      <c r="D234" s="36"/>
      <c r="E234" s="36"/>
      <c r="F234" s="36"/>
      <c r="G234" s="36"/>
      <c r="H234" s="36"/>
      <c r="I234" s="41"/>
      <c r="J234" s="36"/>
      <c r="K234" s="36"/>
      <c r="L234" s="36"/>
    </row>
    <row r="235">
      <c r="A235" s="114"/>
      <c r="B235" s="36"/>
      <c r="C235" s="36"/>
      <c r="D235" s="36"/>
      <c r="E235" s="36"/>
      <c r="F235" s="36"/>
      <c r="G235" s="36"/>
      <c r="H235" s="36"/>
      <c r="I235" s="41"/>
      <c r="J235" s="36"/>
      <c r="K235" s="36"/>
      <c r="L235" s="36"/>
    </row>
    <row r="236">
      <c r="A236" s="114"/>
      <c r="B236" s="36"/>
      <c r="C236" s="36"/>
      <c r="D236" s="36"/>
      <c r="E236" s="36"/>
      <c r="F236" s="36"/>
      <c r="G236" s="36"/>
      <c r="H236" s="36"/>
      <c r="I236" s="41"/>
      <c r="J236" s="36"/>
      <c r="K236" s="36"/>
      <c r="L236" s="36"/>
    </row>
    <row r="237">
      <c r="A237" s="114"/>
      <c r="B237" s="36"/>
      <c r="C237" s="36"/>
      <c r="D237" s="36"/>
      <c r="E237" s="36"/>
      <c r="F237" s="36"/>
      <c r="G237" s="36"/>
      <c r="H237" s="36"/>
      <c r="I237" s="41"/>
      <c r="J237" s="36"/>
      <c r="K237" s="36"/>
      <c r="L237" s="36"/>
    </row>
    <row r="238">
      <c r="A238" s="114"/>
      <c r="B238" s="36"/>
      <c r="C238" s="36"/>
      <c r="D238" s="36"/>
      <c r="E238" s="36"/>
      <c r="F238" s="36"/>
      <c r="G238" s="36"/>
      <c r="H238" s="36"/>
      <c r="I238" s="41"/>
      <c r="J238" s="36"/>
      <c r="K238" s="36"/>
      <c r="L238" s="36"/>
    </row>
    <row r="239">
      <c r="A239" s="114"/>
      <c r="B239" s="36"/>
      <c r="C239" s="44"/>
      <c r="D239" s="44"/>
      <c r="E239" s="44"/>
      <c r="F239" s="44"/>
      <c r="G239" s="44"/>
      <c r="H239" s="44"/>
      <c r="I239" s="41"/>
      <c r="J239" s="36"/>
      <c r="K239" s="36"/>
      <c r="L239" s="36"/>
    </row>
    <row r="240">
      <c r="A240" s="114"/>
      <c r="B240" s="36"/>
      <c r="C240" s="44"/>
      <c r="D240" s="44"/>
      <c r="E240" s="44"/>
      <c r="F240" s="44"/>
      <c r="G240" s="44"/>
      <c r="H240" s="44"/>
      <c r="I240" s="41"/>
      <c r="J240" s="36"/>
      <c r="K240" s="36"/>
      <c r="L240" s="36"/>
    </row>
    <row r="241">
      <c r="A241" s="114"/>
      <c r="B241" s="36"/>
      <c r="C241" s="44"/>
      <c r="D241" s="44"/>
      <c r="E241" s="44"/>
      <c r="F241" s="44"/>
      <c r="G241" s="44"/>
      <c r="H241" s="44"/>
      <c r="I241" s="41"/>
      <c r="J241" s="36"/>
      <c r="K241" s="36"/>
      <c r="L241" s="36"/>
    </row>
    <row r="242">
      <c r="A242" s="114"/>
      <c r="B242" s="36"/>
      <c r="C242" s="44"/>
      <c r="D242" s="44"/>
      <c r="E242" s="44"/>
      <c r="F242" s="44"/>
      <c r="G242" s="44"/>
      <c r="H242" s="44"/>
      <c r="I242" s="41"/>
      <c r="J242" s="36"/>
      <c r="K242" s="36"/>
      <c r="L242" s="36"/>
    </row>
    <row r="243">
      <c r="A243" s="114"/>
      <c r="B243" s="36"/>
      <c r="C243" s="36"/>
      <c r="D243" s="36"/>
      <c r="E243" s="36"/>
      <c r="F243" s="36"/>
      <c r="G243" s="36"/>
      <c r="H243" s="36"/>
      <c r="I243" s="41"/>
      <c r="J243" s="36"/>
      <c r="K243" s="36"/>
      <c r="L243" s="36"/>
    </row>
    <row r="244">
      <c r="A244" s="114"/>
      <c r="B244" s="36"/>
      <c r="C244" s="36"/>
      <c r="D244" s="36"/>
      <c r="E244" s="36"/>
      <c r="F244" s="36"/>
      <c r="G244" s="36"/>
      <c r="H244" s="36"/>
      <c r="I244" s="41"/>
      <c r="J244" s="36"/>
      <c r="K244" s="36"/>
      <c r="L244" s="36"/>
    </row>
    <row r="245">
      <c r="A245" s="114"/>
      <c r="B245" s="36"/>
      <c r="C245" s="36"/>
      <c r="D245" s="36"/>
      <c r="E245" s="36"/>
      <c r="F245" s="36"/>
      <c r="G245" s="36"/>
      <c r="H245" s="36"/>
      <c r="I245" s="41"/>
      <c r="J245" s="36"/>
      <c r="K245" s="36"/>
      <c r="L245" s="36"/>
    </row>
    <row r="246">
      <c r="A246" s="114"/>
      <c r="B246" s="36"/>
      <c r="C246" s="36"/>
      <c r="D246" s="36"/>
      <c r="E246" s="36"/>
      <c r="F246" s="36"/>
      <c r="G246" s="36"/>
      <c r="H246" s="36"/>
      <c r="I246" s="41"/>
      <c r="J246" s="36"/>
      <c r="K246" s="36"/>
      <c r="L246" s="36"/>
    </row>
    <row r="247">
      <c r="A247" s="114"/>
      <c r="B247" s="36"/>
      <c r="C247" s="36"/>
      <c r="D247" s="36"/>
      <c r="E247" s="36"/>
      <c r="F247" s="36"/>
      <c r="G247" s="36"/>
      <c r="H247" s="36"/>
      <c r="I247" s="41"/>
      <c r="J247" s="36"/>
      <c r="K247" s="36"/>
      <c r="L247" s="36"/>
    </row>
    <row r="248">
      <c r="A248" s="114"/>
      <c r="B248" s="36"/>
      <c r="C248" s="36"/>
      <c r="D248" s="36"/>
      <c r="E248" s="36"/>
      <c r="F248" s="36"/>
      <c r="G248" s="36"/>
      <c r="H248" s="36"/>
      <c r="I248" s="41"/>
      <c r="J248" s="36"/>
      <c r="K248" s="36"/>
      <c r="L248" s="36"/>
    </row>
    <row r="249">
      <c r="A249" s="114"/>
      <c r="B249" s="36"/>
      <c r="C249" s="36"/>
      <c r="D249" s="36"/>
      <c r="E249" s="36"/>
      <c r="F249" s="36"/>
      <c r="G249" s="36"/>
      <c r="H249" s="36"/>
      <c r="I249" s="41"/>
      <c r="J249" s="36"/>
      <c r="K249" s="36"/>
      <c r="L249" s="36"/>
    </row>
    <row r="250">
      <c r="A250" s="114"/>
      <c r="B250" s="36"/>
      <c r="C250" s="36"/>
      <c r="D250" s="36"/>
      <c r="E250" s="36"/>
      <c r="F250" s="36"/>
      <c r="G250" s="36"/>
      <c r="H250" s="36"/>
      <c r="I250" s="41"/>
      <c r="J250" s="36"/>
      <c r="K250" s="36"/>
      <c r="L250" s="36"/>
    </row>
    <row r="251">
      <c r="A251" s="114"/>
      <c r="B251" s="36"/>
      <c r="C251" s="36"/>
      <c r="D251" s="36"/>
      <c r="E251" s="36"/>
      <c r="F251" s="36"/>
      <c r="G251" s="36"/>
      <c r="H251" s="36"/>
      <c r="I251" s="41"/>
      <c r="J251" s="36"/>
      <c r="K251" s="36"/>
      <c r="L251" s="36"/>
    </row>
    <row r="252">
      <c r="A252" s="114"/>
      <c r="B252" s="36"/>
      <c r="C252" s="44"/>
      <c r="D252" s="44"/>
      <c r="E252" s="44"/>
      <c r="F252" s="44"/>
      <c r="G252" s="44"/>
      <c r="H252" s="44"/>
      <c r="I252" s="41"/>
      <c r="J252" s="36"/>
      <c r="K252" s="36"/>
      <c r="L252" s="36"/>
    </row>
    <row r="253">
      <c r="A253" s="114"/>
      <c r="B253" s="36"/>
      <c r="C253" s="44"/>
      <c r="D253" s="44"/>
      <c r="E253" s="44"/>
      <c r="F253" s="44"/>
      <c r="G253" s="44"/>
      <c r="H253" s="44"/>
      <c r="I253" s="41"/>
      <c r="J253" s="36"/>
      <c r="K253" s="36"/>
      <c r="L253" s="36"/>
    </row>
    <row r="254">
      <c r="A254" s="114"/>
      <c r="B254" s="36"/>
      <c r="C254" s="44"/>
      <c r="D254" s="44"/>
      <c r="E254" s="44"/>
      <c r="F254" s="44"/>
      <c r="G254" s="44"/>
      <c r="H254" s="44"/>
      <c r="I254" s="41"/>
      <c r="J254" s="36"/>
      <c r="K254" s="36"/>
      <c r="L254" s="36"/>
    </row>
    <row r="255">
      <c r="A255" s="114"/>
      <c r="B255" s="36"/>
      <c r="C255" s="36"/>
      <c r="D255" s="36"/>
      <c r="E255" s="36"/>
      <c r="F255" s="36"/>
      <c r="G255" s="36"/>
      <c r="H255" s="36"/>
      <c r="I255" s="41"/>
      <c r="J255" s="36"/>
      <c r="K255" s="36"/>
      <c r="L255" s="36"/>
    </row>
    <row r="256">
      <c r="A256" s="114"/>
      <c r="B256" s="36"/>
      <c r="C256" s="36"/>
      <c r="D256" s="36"/>
      <c r="E256" s="36"/>
      <c r="F256" s="36"/>
      <c r="G256" s="36"/>
      <c r="H256" s="36"/>
      <c r="I256" s="41"/>
      <c r="J256" s="36"/>
      <c r="K256" s="36"/>
      <c r="L256" s="36"/>
    </row>
    <row r="257">
      <c r="A257" s="114"/>
      <c r="B257" s="36"/>
      <c r="C257" s="36"/>
      <c r="D257" s="36"/>
      <c r="E257" s="36"/>
      <c r="F257" s="36"/>
      <c r="G257" s="36"/>
      <c r="H257" s="36"/>
      <c r="I257" s="41"/>
      <c r="J257" s="36"/>
      <c r="K257" s="36"/>
      <c r="L257" s="36"/>
    </row>
    <row r="258">
      <c r="A258" s="114"/>
      <c r="B258" s="36"/>
      <c r="C258" s="36"/>
      <c r="D258" s="36"/>
      <c r="E258" s="36"/>
      <c r="F258" s="36"/>
      <c r="G258" s="36"/>
      <c r="H258" s="36"/>
      <c r="I258" s="41"/>
      <c r="J258" s="36"/>
      <c r="K258" s="36"/>
      <c r="L258" s="36"/>
    </row>
    <row r="259">
      <c r="A259" s="114"/>
      <c r="B259" s="36"/>
      <c r="C259" s="36"/>
      <c r="D259" s="36"/>
      <c r="E259" s="36"/>
      <c r="F259" s="36"/>
      <c r="G259" s="36"/>
      <c r="H259" s="36"/>
      <c r="I259" s="41"/>
      <c r="J259" s="36"/>
      <c r="K259" s="36"/>
      <c r="L259" s="36"/>
    </row>
    <row r="260">
      <c r="A260" s="114"/>
      <c r="B260" s="36"/>
      <c r="C260" s="36"/>
      <c r="D260" s="36"/>
      <c r="E260" s="36"/>
      <c r="F260" s="36"/>
      <c r="G260" s="36"/>
      <c r="H260" s="36"/>
      <c r="I260" s="41"/>
      <c r="J260" s="36"/>
      <c r="K260" s="36"/>
      <c r="L260" s="36"/>
    </row>
    <row r="261">
      <c r="A261" s="114"/>
      <c r="B261" s="36"/>
      <c r="C261" s="36"/>
      <c r="D261" s="36"/>
      <c r="E261" s="36"/>
      <c r="F261" s="36"/>
      <c r="G261" s="36"/>
      <c r="H261" s="36"/>
      <c r="I261" s="41"/>
      <c r="J261" s="36"/>
      <c r="K261" s="36"/>
      <c r="L261" s="36"/>
    </row>
    <row r="262">
      <c r="A262" s="114"/>
      <c r="B262" s="36"/>
      <c r="C262" s="36"/>
      <c r="D262" s="36"/>
      <c r="E262" s="36"/>
      <c r="F262" s="36"/>
      <c r="G262" s="36"/>
      <c r="H262" s="36"/>
      <c r="I262" s="41"/>
      <c r="J262" s="36"/>
      <c r="K262" s="36"/>
      <c r="L262" s="36"/>
    </row>
    <row r="263">
      <c r="A263" s="114"/>
      <c r="B263" s="36"/>
      <c r="C263" s="36"/>
      <c r="D263" s="36"/>
      <c r="E263" s="36"/>
      <c r="F263" s="36"/>
      <c r="G263" s="36"/>
      <c r="H263" s="36"/>
      <c r="I263" s="41"/>
      <c r="J263" s="36"/>
      <c r="K263" s="36"/>
      <c r="L263" s="36"/>
    </row>
    <row r="264">
      <c r="A264" s="114"/>
      <c r="B264" s="36"/>
      <c r="C264" s="44"/>
      <c r="D264" s="44"/>
      <c r="E264" s="44"/>
      <c r="F264" s="44"/>
      <c r="G264" s="44"/>
      <c r="H264" s="44"/>
      <c r="I264" s="41"/>
      <c r="J264" s="36"/>
      <c r="K264" s="36"/>
      <c r="L264" s="36"/>
    </row>
    <row r="265">
      <c r="A265" s="114"/>
      <c r="B265" s="36"/>
      <c r="C265" s="44"/>
      <c r="D265" s="44"/>
      <c r="E265" s="44"/>
      <c r="F265" s="44"/>
      <c r="G265" s="44"/>
      <c r="H265" s="44"/>
      <c r="I265" s="41"/>
      <c r="J265" s="36"/>
      <c r="K265" s="36"/>
      <c r="L265" s="36"/>
    </row>
    <row r="266">
      <c r="A266" s="114"/>
      <c r="B266" s="36"/>
      <c r="C266" s="44"/>
      <c r="D266" s="44"/>
      <c r="E266" s="44"/>
      <c r="F266" s="44"/>
      <c r="G266" s="44"/>
      <c r="H266" s="44"/>
      <c r="I266" s="41"/>
      <c r="J266" s="36"/>
      <c r="K266" s="36"/>
      <c r="L266" s="36"/>
    </row>
    <row r="267">
      <c r="A267" s="114"/>
      <c r="B267" s="36"/>
      <c r="C267" s="44"/>
      <c r="D267" s="44"/>
      <c r="E267" s="44"/>
      <c r="F267" s="44"/>
      <c r="G267" s="44"/>
      <c r="H267" s="44"/>
      <c r="I267" s="41"/>
      <c r="J267" s="36"/>
      <c r="K267" s="36"/>
      <c r="L267" s="36"/>
    </row>
    <row r="268">
      <c r="A268" s="114"/>
      <c r="B268" s="36"/>
      <c r="C268" s="36"/>
      <c r="D268" s="36"/>
      <c r="E268" s="36"/>
      <c r="F268" s="36"/>
      <c r="G268" s="36"/>
      <c r="H268" s="36"/>
      <c r="I268" s="41"/>
      <c r="J268" s="36"/>
      <c r="K268" s="36"/>
      <c r="L268" s="36"/>
    </row>
    <row r="269">
      <c r="A269" s="114"/>
      <c r="B269" s="36"/>
      <c r="C269" s="36"/>
      <c r="D269" s="36"/>
      <c r="E269" s="36"/>
      <c r="F269" s="36"/>
      <c r="G269" s="36"/>
      <c r="H269" s="36"/>
      <c r="I269" s="41"/>
      <c r="J269" s="36"/>
      <c r="K269" s="36"/>
      <c r="L269" s="36"/>
    </row>
    <row r="270">
      <c r="A270" s="114"/>
      <c r="B270" s="36"/>
      <c r="C270" s="36"/>
      <c r="D270" s="36"/>
      <c r="E270" s="36"/>
      <c r="F270" s="36"/>
      <c r="G270" s="36"/>
      <c r="H270" s="36"/>
      <c r="I270" s="41"/>
      <c r="J270" s="36"/>
      <c r="K270" s="36"/>
      <c r="L270" s="36"/>
    </row>
    <row r="271">
      <c r="A271" s="114"/>
      <c r="B271" s="36"/>
      <c r="C271" s="36"/>
      <c r="D271" s="36"/>
      <c r="E271" s="36"/>
      <c r="F271" s="36"/>
      <c r="G271" s="36"/>
      <c r="H271" s="36"/>
      <c r="I271" s="41"/>
      <c r="J271" s="36"/>
      <c r="K271" s="36"/>
      <c r="L271" s="36"/>
    </row>
    <row r="272">
      <c r="A272" s="114"/>
      <c r="B272" s="36"/>
      <c r="C272" s="36"/>
      <c r="D272" s="36"/>
      <c r="E272" s="36"/>
      <c r="F272" s="36"/>
      <c r="G272" s="36"/>
      <c r="H272" s="36"/>
      <c r="I272" s="41"/>
      <c r="J272" s="36"/>
      <c r="K272" s="36"/>
      <c r="L272" s="36"/>
    </row>
    <row r="273">
      <c r="A273" s="114"/>
      <c r="B273" s="36"/>
      <c r="C273" s="36"/>
      <c r="D273" s="36"/>
      <c r="E273" s="36"/>
      <c r="F273" s="36"/>
      <c r="G273" s="36"/>
      <c r="H273" s="36"/>
      <c r="I273" s="41"/>
      <c r="J273" s="36"/>
      <c r="K273" s="36"/>
      <c r="L273" s="36"/>
    </row>
    <row r="274">
      <c r="A274" s="114"/>
      <c r="B274" s="36"/>
      <c r="C274" s="36"/>
      <c r="D274" s="36"/>
      <c r="E274" s="36"/>
      <c r="F274" s="36"/>
      <c r="G274" s="36"/>
      <c r="H274" s="36"/>
      <c r="I274" s="41"/>
      <c r="J274" s="36"/>
      <c r="K274" s="36"/>
      <c r="L274" s="36"/>
    </row>
    <row r="275">
      <c r="A275" s="114"/>
      <c r="B275" s="36"/>
      <c r="C275" s="36"/>
      <c r="D275" s="36"/>
      <c r="E275" s="36"/>
      <c r="F275" s="36"/>
      <c r="G275" s="36"/>
      <c r="H275" s="36"/>
      <c r="I275" s="41"/>
      <c r="J275" s="36"/>
      <c r="K275" s="36"/>
      <c r="L275" s="36"/>
    </row>
    <row r="276">
      <c r="A276" s="114"/>
      <c r="B276" s="36"/>
      <c r="C276" s="44"/>
      <c r="D276" s="44"/>
      <c r="E276" s="44"/>
      <c r="F276" s="44"/>
      <c r="G276" s="44"/>
      <c r="H276" s="44"/>
      <c r="I276" s="41"/>
      <c r="J276" s="36"/>
      <c r="K276" s="36"/>
      <c r="L276" s="36"/>
    </row>
    <row r="277">
      <c r="A277" s="114"/>
      <c r="B277" s="36"/>
      <c r="C277" s="44"/>
      <c r="D277" s="44"/>
      <c r="E277" s="44"/>
      <c r="F277" s="44"/>
      <c r="G277" s="44"/>
      <c r="H277" s="44"/>
      <c r="I277" s="41"/>
      <c r="J277" s="36"/>
      <c r="K277" s="36"/>
      <c r="L277" s="36"/>
    </row>
    <row r="278">
      <c r="A278" s="114"/>
      <c r="B278" s="36"/>
      <c r="C278" s="44"/>
      <c r="D278" s="44"/>
      <c r="E278" s="44"/>
      <c r="F278" s="44"/>
      <c r="G278" s="44"/>
      <c r="H278" s="44"/>
      <c r="I278" s="41"/>
      <c r="J278" s="36"/>
      <c r="K278" s="36"/>
      <c r="L278" s="36"/>
    </row>
    <row r="279">
      <c r="A279" s="114"/>
      <c r="B279" s="36"/>
      <c r="C279" s="44"/>
      <c r="D279" s="44"/>
      <c r="E279" s="44"/>
      <c r="F279" s="44"/>
      <c r="G279" s="44"/>
      <c r="H279" s="44"/>
      <c r="I279" s="41"/>
      <c r="J279" s="36"/>
      <c r="K279" s="36"/>
      <c r="L279" s="36"/>
    </row>
    <row r="280">
      <c r="A280" s="114"/>
      <c r="B280" s="36"/>
      <c r="C280" s="36"/>
      <c r="D280" s="36"/>
      <c r="E280" s="36"/>
      <c r="F280" s="36"/>
      <c r="G280" s="36"/>
      <c r="H280" s="36"/>
      <c r="I280" s="41"/>
      <c r="J280" s="36"/>
      <c r="K280" s="36"/>
      <c r="L280" s="36"/>
    </row>
    <row r="281">
      <c r="A281" s="114"/>
      <c r="B281" s="36"/>
      <c r="C281" s="36"/>
      <c r="D281" s="36"/>
      <c r="E281" s="36"/>
      <c r="F281" s="36"/>
      <c r="G281" s="36"/>
      <c r="H281" s="36"/>
      <c r="I281" s="41"/>
      <c r="J281" s="36"/>
      <c r="K281" s="36"/>
      <c r="L281" s="36"/>
    </row>
    <row r="282">
      <c r="A282" s="114"/>
      <c r="B282" s="36"/>
      <c r="C282" s="36"/>
      <c r="D282" s="36"/>
      <c r="E282" s="36"/>
      <c r="F282" s="36"/>
      <c r="G282" s="36"/>
      <c r="H282" s="36"/>
      <c r="I282" s="41"/>
      <c r="J282" s="36"/>
      <c r="K282" s="36"/>
      <c r="L282" s="36"/>
    </row>
    <row r="283">
      <c r="A283" s="114"/>
      <c r="B283" s="36"/>
      <c r="C283" s="36"/>
      <c r="D283" s="36"/>
      <c r="E283" s="36"/>
      <c r="F283" s="36"/>
      <c r="G283" s="36"/>
      <c r="H283" s="36"/>
      <c r="I283" s="41"/>
      <c r="J283" s="36"/>
      <c r="K283" s="36"/>
      <c r="L283" s="36"/>
    </row>
    <row r="284">
      <c r="A284" s="114"/>
      <c r="B284" s="36"/>
      <c r="C284" s="36"/>
      <c r="D284" s="36"/>
      <c r="E284" s="36"/>
      <c r="F284" s="36"/>
      <c r="G284" s="36"/>
      <c r="H284" s="36"/>
      <c r="I284" s="41"/>
      <c r="J284" s="36"/>
      <c r="K284" s="36"/>
      <c r="L284" s="36"/>
    </row>
    <row r="285">
      <c r="A285" s="114"/>
      <c r="B285" s="36"/>
      <c r="C285" s="36"/>
      <c r="D285" s="36"/>
      <c r="E285" s="36"/>
      <c r="F285" s="36"/>
      <c r="G285" s="36"/>
      <c r="H285" s="36"/>
      <c r="I285" s="41"/>
      <c r="J285" s="36"/>
      <c r="K285" s="36"/>
      <c r="L285" s="36"/>
    </row>
    <row r="286">
      <c r="A286" s="114"/>
      <c r="B286" s="36"/>
      <c r="C286" s="36"/>
      <c r="D286" s="36"/>
      <c r="E286" s="36"/>
      <c r="F286" s="36"/>
      <c r="G286" s="36"/>
      <c r="H286" s="36"/>
      <c r="I286" s="41"/>
      <c r="J286" s="36"/>
      <c r="K286" s="36"/>
      <c r="L286" s="36"/>
    </row>
    <row r="287">
      <c r="A287" s="114"/>
      <c r="B287" s="36"/>
      <c r="C287" s="36"/>
      <c r="D287" s="36"/>
      <c r="E287" s="36"/>
      <c r="F287" s="36"/>
      <c r="G287" s="36"/>
      <c r="H287" s="36"/>
      <c r="I287" s="41"/>
      <c r="J287" s="36"/>
      <c r="K287" s="36"/>
      <c r="L287" s="36"/>
    </row>
    <row r="288">
      <c r="A288" s="114"/>
      <c r="B288" s="36"/>
      <c r="C288" s="36"/>
      <c r="D288" s="36"/>
      <c r="E288" s="36"/>
      <c r="F288" s="36"/>
      <c r="G288" s="36"/>
      <c r="H288" s="36"/>
      <c r="I288" s="41"/>
      <c r="J288" s="36"/>
      <c r="K288" s="36"/>
      <c r="L288" s="36"/>
    </row>
    <row r="289">
      <c r="A289" s="114"/>
      <c r="B289" s="36"/>
      <c r="C289" s="36"/>
      <c r="D289" s="36"/>
      <c r="E289" s="36"/>
      <c r="F289" s="36"/>
      <c r="G289" s="36"/>
      <c r="H289" s="36"/>
      <c r="I289" s="41"/>
      <c r="J289" s="36"/>
      <c r="K289" s="36"/>
      <c r="L289" s="36"/>
    </row>
    <row r="290">
      <c r="A290" s="114"/>
      <c r="B290" s="36"/>
      <c r="C290" s="44"/>
      <c r="D290" s="44"/>
      <c r="E290" s="44"/>
      <c r="F290" s="44"/>
      <c r="G290" s="44"/>
      <c r="H290" s="44"/>
      <c r="I290" s="41"/>
      <c r="J290" s="36"/>
      <c r="K290" s="36"/>
      <c r="L290" s="36"/>
    </row>
    <row r="291">
      <c r="A291" s="114"/>
      <c r="B291" s="36"/>
      <c r="C291" s="44"/>
      <c r="D291" s="44"/>
      <c r="E291" s="44"/>
      <c r="F291" s="44"/>
      <c r="G291" s="44"/>
      <c r="H291" s="44"/>
      <c r="I291" s="41"/>
      <c r="J291" s="36"/>
      <c r="K291" s="36"/>
      <c r="L291" s="36"/>
    </row>
    <row r="292">
      <c r="A292" s="114"/>
      <c r="B292" s="36"/>
      <c r="C292" s="36"/>
      <c r="D292" s="36"/>
      <c r="E292" s="36"/>
      <c r="F292" s="36"/>
      <c r="G292" s="36"/>
      <c r="H292" s="36"/>
      <c r="I292" s="41"/>
      <c r="J292" s="36"/>
      <c r="K292" s="36"/>
      <c r="L292" s="36"/>
    </row>
    <row r="293">
      <c r="A293" s="114"/>
      <c r="B293" s="36"/>
      <c r="C293" s="36"/>
      <c r="D293" s="36"/>
      <c r="E293" s="36"/>
      <c r="F293" s="36"/>
      <c r="G293" s="36"/>
      <c r="H293" s="36"/>
      <c r="I293" s="41"/>
      <c r="J293" s="36"/>
      <c r="K293" s="36"/>
      <c r="L293" s="36"/>
    </row>
    <row r="294">
      <c r="A294" s="114"/>
      <c r="B294" s="36"/>
      <c r="C294" s="36"/>
      <c r="D294" s="36"/>
      <c r="E294" s="36"/>
      <c r="F294" s="36"/>
      <c r="G294" s="36"/>
      <c r="H294" s="36"/>
      <c r="I294" s="41"/>
      <c r="J294" s="36"/>
      <c r="K294" s="36"/>
      <c r="L294" s="36"/>
    </row>
    <row r="295">
      <c r="A295" s="114"/>
      <c r="B295" s="36"/>
      <c r="C295" s="36"/>
      <c r="D295" s="36"/>
      <c r="E295" s="36"/>
      <c r="F295" s="36"/>
      <c r="G295" s="36"/>
      <c r="H295" s="36"/>
      <c r="I295" s="41"/>
      <c r="J295" s="36"/>
      <c r="K295" s="36"/>
      <c r="L295" s="36"/>
    </row>
    <row r="296">
      <c r="A296" s="114"/>
      <c r="B296" s="36"/>
      <c r="C296" s="36"/>
      <c r="D296" s="36"/>
      <c r="E296" s="36"/>
      <c r="F296" s="36"/>
      <c r="G296" s="36"/>
      <c r="H296" s="36"/>
      <c r="I296" s="41"/>
      <c r="J296" s="36"/>
      <c r="K296" s="36"/>
      <c r="L296" s="36"/>
    </row>
    <row r="297">
      <c r="A297" s="114"/>
      <c r="B297" s="36"/>
      <c r="C297" s="36"/>
      <c r="D297" s="36"/>
      <c r="E297" s="36"/>
      <c r="F297" s="36"/>
      <c r="G297" s="36"/>
      <c r="H297" s="36"/>
      <c r="I297" s="41"/>
      <c r="J297" s="36"/>
      <c r="K297" s="36"/>
      <c r="L297" s="36"/>
    </row>
    <row r="298">
      <c r="A298" s="114"/>
      <c r="B298" s="36"/>
      <c r="C298" s="36"/>
      <c r="D298" s="36"/>
      <c r="E298" s="36"/>
      <c r="F298" s="36"/>
      <c r="G298" s="36"/>
      <c r="H298" s="36"/>
      <c r="I298" s="41"/>
      <c r="J298" s="36"/>
      <c r="K298" s="36"/>
      <c r="L298" s="36"/>
    </row>
    <row r="299">
      <c r="A299" s="114"/>
      <c r="B299" s="36"/>
      <c r="C299" s="36"/>
      <c r="D299" s="36"/>
      <c r="E299" s="36"/>
      <c r="F299" s="36"/>
      <c r="G299" s="36"/>
      <c r="H299" s="36"/>
      <c r="I299" s="41"/>
      <c r="J299" s="36"/>
      <c r="K299" s="36"/>
      <c r="L299" s="36"/>
    </row>
    <row r="300">
      <c r="A300" s="114"/>
      <c r="B300" s="36"/>
      <c r="C300" s="36"/>
      <c r="D300" s="36"/>
      <c r="E300" s="36"/>
      <c r="F300" s="36"/>
      <c r="G300" s="36"/>
      <c r="H300" s="36"/>
      <c r="I300" s="41"/>
      <c r="J300" s="36"/>
      <c r="K300" s="36"/>
      <c r="L300" s="36"/>
    </row>
    <row r="301">
      <c r="A301" s="114"/>
      <c r="B301" s="36"/>
      <c r="C301" s="36"/>
      <c r="D301" s="36"/>
      <c r="E301" s="36"/>
      <c r="F301" s="36"/>
      <c r="G301" s="36"/>
      <c r="H301" s="36"/>
      <c r="I301" s="41"/>
      <c r="J301" s="36"/>
      <c r="K301" s="36"/>
      <c r="L301" s="36"/>
    </row>
    <row r="302">
      <c r="A302" s="114"/>
      <c r="B302" s="36"/>
      <c r="C302" s="36"/>
      <c r="D302" s="36"/>
      <c r="E302" s="36"/>
      <c r="F302" s="36"/>
      <c r="G302" s="36"/>
      <c r="H302" s="36"/>
      <c r="I302" s="41"/>
      <c r="J302" s="36"/>
      <c r="K302" s="36"/>
      <c r="L302" s="36"/>
    </row>
    <row r="303">
      <c r="A303" s="114"/>
      <c r="B303" s="36"/>
      <c r="C303" s="44"/>
      <c r="D303" s="44"/>
      <c r="E303" s="44"/>
      <c r="F303" s="44"/>
      <c r="G303" s="44"/>
      <c r="H303" s="44"/>
      <c r="I303" s="41"/>
      <c r="J303" s="36"/>
      <c r="K303" s="36"/>
      <c r="L303" s="36"/>
    </row>
    <row r="304">
      <c r="A304" s="114"/>
      <c r="B304" s="36"/>
      <c r="C304" s="44"/>
      <c r="D304" s="44"/>
      <c r="E304" s="44"/>
      <c r="F304" s="44"/>
      <c r="G304" s="44"/>
      <c r="H304" s="44"/>
      <c r="I304" s="41"/>
      <c r="J304" s="36"/>
      <c r="K304" s="36"/>
      <c r="L304" s="36"/>
    </row>
    <row r="305">
      <c r="A305" s="114"/>
      <c r="B305" s="36"/>
      <c r="C305" s="44"/>
      <c r="D305" s="44"/>
      <c r="E305" s="44"/>
      <c r="F305" s="44"/>
      <c r="G305" s="44"/>
      <c r="H305" s="44"/>
      <c r="I305" s="41"/>
      <c r="J305" s="36"/>
      <c r="K305" s="36"/>
      <c r="L305" s="36"/>
    </row>
    <row r="306">
      <c r="A306" s="114"/>
      <c r="B306" s="36"/>
      <c r="C306" s="36"/>
      <c r="D306" s="36"/>
      <c r="E306" s="36"/>
      <c r="F306" s="36"/>
      <c r="G306" s="36"/>
      <c r="H306" s="36"/>
      <c r="I306" s="41"/>
      <c r="J306" s="36"/>
      <c r="K306" s="36"/>
      <c r="L306" s="36"/>
    </row>
    <row r="307">
      <c r="A307" s="114"/>
      <c r="B307" s="36"/>
      <c r="C307" s="36"/>
      <c r="D307" s="36"/>
      <c r="E307" s="36"/>
      <c r="F307" s="36"/>
      <c r="G307" s="36"/>
      <c r="H307" s="36"/>
      <c r="I307" s="41"/>
      <c r="J307" s="36"/>
      <c r="K307" s="36"/>
      <c r="L307" s="36"/>
    </row>
    <row r="308">
      <c r="A308" s="114"/>
      <c r="B308" s="36"/>
      <c r="C308" s="36"/>
      <c r="D308" s="36"/>
      <c r="E308" s="36"/>
      <c r="F308" s="36"/>
      <c r="G308" s="36"/>
      <c r="H308" s="36"/>
      <c r="I308" s="41"/>
      <c r="J308" s="36"/>
      <c r="K308" s="36"/>
      <c r="L308" s="36"/>
    </row>
    <row r="309">
      <c r="A309" s="114"/>
      <c r="B309" s="36"/>
      <c r="C309" s="36"/>
      <c r="D309" s="36"/>
      <c r="E309" s="36"/>
      <c r="F309" s="36"/>
      <c r="G309" s="36"/>
      <c r="H309" s="36"/>
      <c r="I309" s="41"/>
      <c r="J309" s="36"/>
      <c r="K309" s="36"/>
      <c r="L309" s="36"/>
    </row>
    <row r="310">
      <c r="A310" s="114"/>
      <c r="B310" s="36"/>
      <c r="C310" s="36"/>
      <c r="D310" s="36"/>
      <c r="E310" s="36"/>
      <c r="F310" s="36"/>
      <c r="G310" s="36"/>
      <c r="H310" s="36"/>
      <c r="I310" s="41"/>
      <c r="J310" s="36"/>
      <c r="K310" s="36"/>
      <c r="L310" s="36"/>
    </row>
    <row r="311">
      <c r="A311" s="114"/>
      <c r="B311" s="36"/>
      <c r="C311" s="36"/>
      <c r="D311" s="36"/>
      <c r="E311" s="36"/>
      <c r="F311" s="36"/>
      <c r="G311" s="36"/>
      <c r="H311" s="36"/>
      <c r="I311" s="41"/>
      <c r="J311" s="36"/>
      <c r="K311" s="36"/>
      <c r="L311" s="36"/>
    </row>
    <row r="312">
      <c r="A312" s="114"/>
      <c r="B312" s="36"/>
      <c r="C312" s="36"/>
      <c r="D312" s="36"/>
      <c r="E312" s="36"/>
      <c r="F312" s="36"/>
      <c r="G312" s="36"/>
      <c r="H312" s="36"/>
      <c r="I312" s="41"/>
      <c r="J312" s="36"/>
      <c r="K312" s="36"/>
      <c r="L312" s="36"/>
    </row>
    <row r="313">
      <c r="A313" s="114"/>
      <c r="B313" s="36"/>
      <c r="C313" s="36"/>
      <c r="D313" s="36"/>
      <c r="E313" s="36"/>
      <c r="F313" s="36"/>
      <c r="G313" s="36"/>
      <c r="H313" s="36"/>
      <c r="I313" s="41"/>
      <c r="J313" s="36"/>
      <c r="K313" s="36"/>
      <c r="L313" s="36"/>
    </row>
    <row r="314">
      <c r="A314" s="114"/>
      <c r="B314" s="36"/>
      <c r="C314" s="44"/>
      <c r="D314" s="44"/>
      <c r="E314" s="44"/>
      <c r="F314" s="44"/>
      <c r="G314" s="44"/>
      <c r="H314" s="44"/>
      <c r="I314" s="41"/>
      <c r="J314" s="36"/>
      <c r="K314" s="36"/>
      <c r="L314" s="36"/>
    </row>
    <row r="315">
      <c r="A315" s="114"/>
      <c r="B315" s="36"/>
      <c r="C315" s="44"/>
      <c r="D315" s="44"/>
      <c r="E315" s="44"/>
      <c r="F315" s="44"/>
      <c r="G315" s="44"/>
      <c r="H315" s="44"/>
      <c r="I315" s="41"/>
      <c r="J315" s="36"/>
      <c r="K315" s="36"/>
      <c r="L315" s="36"/>
    </row>
    <row r="316">
      <c r="A316" s="114"/>
      <c r="B316" s="36"/>
      <c r="C316" s="44"/>
      <c r="D316" s="44"/>
      <c r="E316" s="44"/>
      <c r="F316" s="44"/>
      <c r="G316" s="44"/>
      <c r="H316" s="44"/>
      <c r="I316" s="41"/>
      <c r="J316" s="36"/>
      <c r="K316" s="36"/>
      <c r="L316" s="36"/>
    </row>
    <row r="317">
      <c r="A317" s="114"/>
      <c r="B317" s="36"/>
      <c r="C317" s="44"/>
      <c r="D317" s="44"/>
      <c r="E317" s="44"/>
      <c r="F317" s="44"/>
      <c r="G317" s="44"/>
      <c r="H317" s="44"/>
      <c r="I317" s="41"/>
      <c r="J317" s="36"/>
      <c r="K317" s="36"/>
      <c r="L317" s="36"/>
    </row>
    <row r="318">
      <c r="A318" s="114"/>
      <c r="B318" s="36"/>
      <c r="C318" s="36"/>
      <c r="D318" s="36"/>
      <c r="E318" s="36"/>
      <c r="F318" s="36"/>
      <c r="G318" s="36"/>
      <c r="H318" s="36"/>
      <c r="I318" s="41"/>
      <c r="J318" s="36"/>
      <c r="K318" s="36"/>
      <c r="L318" s="36"/>
    </row>
    <row r="319">
      <c r="A319" s="114"/>
      <c r="B319" s="36"/>
      <c r="C319" s="36"/>
      <c r="D319" s="36"/>
      <c r="E319" s="36"/>
      <c r="F319" s="36"/>
      <c r="G319" s="36"/>
      <c r="H319" s="36"/>
      <c r="I319" s="41"/>
      <c r="J319" s="36"/>
      <c r="K319" s="36"/>
      <c r="L319" s="36"/>
    </row>
    <row r="320">
      <c r="A320" s="114"/>
      <c r="B320" s="36"/>
      <c r="C320" s="36"/>
      <c r="D320" s="36"/>
      <c r="E320" s="36"/>
      <c r="F320" s="36"/>
      <c r="G320" s="36"/>
      <c r="H320" s="36"/>
      <c r="I320" s="41"/>
      <c r="J320" s="36"/>
      <c r="K320" s="36"/>
      <c r="L320" s="36"/>
    </row>
    <row r="321">
      <c r="A321" s="114"/>
      <c r="B321" s="36"/>
      <c r="C321" s="36"/>
      <c r="D321" s="36"/>
      <c r="E321" s="36"/>
      <c r="F321" s="36"/>
      <c r="G321" s="36"/>
      <c r="H321" s="36"/>
      <c r="I321" s="41"/>
      <c r="J321" s="36"/>
      <c r="K321" s="36"/>
      <c r="L321" s="36"/>
    </row>
    <row r="322">
      <c r="A322" s="114"/>
      <c r="B322" s="36"/>
      <c r="C322" s="36"/>
      <c r="D322" s="36"/>
      <c r="E322" s="36"/>
      <c r="F322" s="36"/>
      <c r="G322" s="36"/>
      <c r="H322" s="36"/>
      <c r="I322" s="41"/>
      <c r="J322" s="36"/>
      <c r="K322" s="36"/>
      <c r="L322" s="36"/>
    </row>
    <row r="323">
      <c r="A323" s="114"/>
      <c r="B323" s="36"/>
      <c r="C323" s="36"/>
      <c r="D323" s="36"/>
      <c r="E323" s="36"/>
      <c r="F323" s="36"/>
      <c r="G323" s="36"/>
      <c r="H323" s="36"/>
      <c r="I323" s="41"/>
      <c r="J323" s="36"/>
      <c r="K323" s="36"/>
      <c r="L323" s="36"/>
    </row>
    <row r="324">
      <c r="A324" s="114"/>
      <c r="B324" s="36"/>
      <c r="C324" s="36"/>
      <c r="D324" s="36"/>
      <c r="E324" s="36"/>
      <c r="F324" s="36"/>
      <c r="G324" s="36"/>
      <c r="H324" s="36"/>
      <c r="I324" s="41"/>
      <c r="J324" s="36"/>
      <c r="K324" s="36"/>
      <c r="L324" s="36"/>
    </row>
    <row r="325">
      <c r="A325" s="114"/>
      <c r="B325" s="36"/>
      <c r="C325" s="36"/>
      <c r="D325" s="36"/>
      <c r="E325" s="36"/>
      <c r="F325" s="36"/>
      <c r="G325" s="36"/>
      <c r="H325" s="36"/>
      <c r="I325" s="41"/>
      <c r="J325" s="36"/>
      <c r="K325" s="36"/>
      <c r="L325" s="36"/>
    </row>
    <row r="326">
      <c r="A326" s="114"/>
      <c r="B326" s="36"/>
      <c r="C326" s="36"/>
      <c r="D326" s="36"/>
      <c r="E326" s="36"/>
      <c r="F326" s="36"/>
      <c r="G326" s="36"/>
      <c r="H326" s="36"/>
      <c r="I326" s="41"/>
      <c r="J326" s="36"/>
      <c r="K326" s="36"/>
      <c r="L326" s="36"/>
    </row>
    <row r="327">
      <c r="A327" s="114"/>
      <c r="B327" s="36"/>
      <c r="C327" s="36"/>
      <c r="D327" s="36"/>
      <c r="E327" s="36"/>
      <c r="F327" s="36"/>
      <c r="G327" s="36"/>
      <c r="H327" s="36"/>
      <c r="I327" s="41"/>
      <c r="J327" s="36"/>
      <c r="K327" s="36"/>
      <c r="L327" s="36"/>
    </row>
    <row r="328">
      <c r="A328" s="114"/>
      <c r="B328" s="36"/>
      <c r="C328" s="44"/>
      <c r="D328" s="44"/>
      <c r="E328" s="44"/>
      <c r="F328" s="44"/>
      <c r="G328" s="44"/>
      <c r="H328" s="44"/>
      <c r="I328" s="41"/>
      <c r="J328" s="36"/>
      <c r="K328" s="36"/>
      <c r="L328" s="36"/>
    </row>
    <row r="329">
      <c r="A329" s="114"/>
      <c r="B329" s="36"/>
      <c r="C329" s="44"/>
      <c r="D329" s="44"/>
      <c r="E329" s="44"/>
      <c r="F329" s="44"/>
      <c r="G329" s="44"/>
      <c r="H329" s="44"/>
      <c r="I329" s="41"/>
      <c r="J329" s="36"/>
      <c r="K329" s="36"/>
      <c r="L329" s="36"/>
    </row>
    <row r="330">
      <c r="A330" s="114"/>
      <c r="B330" s="36"/>
      <c r="C330" s="44"/>
      <c r="D330" s="44"/>
      <c r="E330" s="44"/>
      <c r="F330" s="44"/>
      <c r="G330" s="44"/>
      <c r="H330" s="44"/>
      <c r="I330" s="41"/>
      <c r="J330" s="36"/>
      <c r="K330" s="36"/>
      <c r="L330" s="36"/>
    </row>
    <row r="331">
      <c r="A331" s="114"/>
      <c r="B331" s="36"/>
      <c r="C331" s="44"/>
      <c r="D331" s="44"/>
      <c r="E331" s="44"/>
      <c r="F331" s="44"/>
      <c r="G331" s="44"/>
      <c r="H331" s="44"/>
      <c r="I331" s="41"/>
      <c r="J331" s="36"/>
      <c r="K331" s="36"/>
      <c r="L331" s="36"/>
    </row>
    <row r="332">
      <c r="A332" s="114"/>
      <c r="B332" s="36"/>
      <c r="C332" s="36"/>
      <c r="D332" s="36"/>
      <c r="E332" s="36"/>
      <c r="F332" s="36"/>
      <c r="G332" s="36"/>
      <c r="H332" s="36"/>
      <c r="I332" s="41"/>
      <c r="J332" s="36"/>
      <c r="K332" s="36"/>
      <c r="L332" s="36"/>
    </row>
    <row r="333">
      <c r="A333" s="114"/>
      <c r="B333" s="36"/>
      <c r="C333" s="36"/>
      <c r="D333" s="36"/>
      <c r="E333" s="36"/>
      <c r="F333" s="36"/>
      <c r="G333" s="36"/>
      <c r="H333" s="36"/>
      <c r="I333" s="41"/>
      <c r="J333" s="36"/>
      <c r="K333" s="36"/>
      <c r="L333" s="36"/>
    </row>
    <row r="334">
      <c r="A334" s="114"/>
      <c r="B334" s="36"/>
      <c r="C334" s="36"/>
      <c r="D334" s="36"/>
      <c r="E334" s="36"/>
      <c r="F334" s="36"/>
      <c r="G334" s="36"/>
      <c r="H334" s="36"/>
      <c r="I334" s="41"/>
      <c r="J334" s="36"/>
      <c r="K334" s="36"/>
      <c r="L334" s="36"/>
    </row>
    <row r="335">
      <c r="A335" s="114"/>
      <c r="B335" s="36"/>
      <c r="C335" s="36"/>
      <c r="D335" s="36"/>
      <c r="E335" s="36"/>
      <c r="F335" s="36"/>
      <c r="G335" s="36"/>
      <c r="H335" s="36"/>
      <c r="I335" s="41"/>
      <c r="J335" s="36"/>
      <c r="K335" s="36"/>
      <c r="L335" s="36"/>
    </row>
    <row r="336">
      <c r="A336" s="114"/>
      <c r="B336" s="36"/>
      <c r="C336" s="36"/>
      <c r="D336" s="36"/>
      <c r="E336" s="36"/>
      <c r="F336" s="36"/>
      <c r="G336" s="36"/>
      <c r="H336" s="36"/>
      <c r="I336" s="41"/>
      <c r="J336" s="36"/>
      <c r="K336" s="36"/>
      <c r="L336" s="36"/>
    </row>
    <row r="337">
      <c r="A337" s="114"/>
      <c r="B337" s="36"/>
      <c r="C337" s="36"/>
      <c r="D337" s="36"/>
      <c r="E337" s="36"/>
      <c r="F337" s="36"/>
      <c r="G337" s="36"/>
      <c r="H337" s="36"/>
      <c r="I337" s="41"/>
      <c r="J337" s="36"/>
      <c r="K337" s="36"/>
      <c r="L337" s="36"/>
    </row>
    <row r="338">
      <c r="A338" s="114"/>
      <c r="B338" s="36"/>
      <c r="C338" s="36"/>
      <c r="D338" s="36"/>
      <c r="E338" s="36"/>
      <c r="F338" s="36"/>
      <c r="G338" s="36"/>
      <c r="H338" s="36"/>
      <c r="I338" s="41"/>
      <c r="J338" s="36"/>
      <c r="K338" s="36"/>
      <c r="L338" s="36"/>
    </row>
    <row r="339">
      <c r="A339" s="114"/>
      <c r="B339" s="36"/>
      <c r="C339" s="36"/>
      <c r="D339" s="36"/>
      <c r="E339" s="36"/>
      <c r="F339" s="36"/>
      <c r="G339" s="36"/>
      <c r="H339" s="36"/>
      <c r="I339" s="41"/>
      <c r="J339" s="36"/>
      <c r="K339" s="36"/>
      <c r="L339" s="36"/>
    </row>
    <row r="340">
      <c r="A340" s="114"/>
      <c r="B340" s="36"/>
      <c r="C340" s="36"/>
      <c r="D340" s="36"/>
      <c r="E340" s="36"/>
      <c r="F340" s="36"/>
      <c r="G340" s="36"/>
      <c r="H340" s="36"/>
      <c r="I340" s="41"/>
      <c r="J340" s="36"/>
      <c r="K340" s="36"/>
      <c r="L340" s="36"/>
    </row>
    <row r="341">
      <c r="A341" s="114"/>
      <c r="B341" s="36"/>
      <c r="C341" s="36"/>
      <c r="D341" s="36"/>
      <c r="E341" s="36"/>
      <c r="F341" s="36"/>
      <c r="G341" s="36"/>
      <c r="H341" s="36"/>
      <c r="I341" s="41"/>
      <c r="J341" s="36"/>
      <c r="K341" s="36"/>
      <c r="L341" s="36"/>
    </row>
    <row r="342">
      <c r="A342" s="114"/>
      <c r="B342" s="36"/>
      <c r="C342" s="36"/>
      <c r="D342" s="36"/>
      <c r="E342" s="36"/>
      <c r="F342" s="36"/>
      <c r="G342" s="36"/>
      <c r="H342" s="36"/>
      <c r="I342" s="41"/>
      <c r="J342" s="36"/>
      <c r="K342" s="36"/>
      <c r="L342" s="36"/>
    </row>
    <row r="343">
      <c r="A343" s="114"/>
      <c r="B343" s="36"/>
      <c r="C343" s="36"/>
      <c r="D343" s="36"/>
      <c r="E343" s="36"/>
      <c r="F343" s="36"/>
      <c r="G343" s="36"/>
      <c r="H343" s="36"/>
      <c r="I343" s="41"/>
      <c r="J343" s="36"/>
      <c r="K343" s="36"/>
      <c r="L343" s="36"/>
    </row>
    <row r="344">
      <c r="A344" s="114"/>
      <c r="B344" s="36"/>
      <c r="C344" s="36"/>
      <c r="D344" s="36"/>
      <c r="E344" s="36"/>
      <c r="F344" s="36"/>
      <c r="G344" s="36"/>
      <c r="H344" s="36"/>
      <c r="I344" s="41"/>
      <c r="J344" s="36"/>
      <c r="K344" s="36"/>
      <c r="L344" s="36"/>
    </row>
    <row r="345">
      <c r="A345" s="114"/>
      <c r="B345" s="36"/>
      <c r="C345" s="44"/>
      <c r="D345" s="44"/>
      <c r="E345" s="44"/>
      <c r="F345" s="44"/>
      <c r="G345" s="44"/>
      <c r="H345" s="44"/>
      <c r="I345" s="41"/>
      <c r="J345" s="36"/>
      <c r="K345" s="36"/>
      <c r="L345" s="36"/>
    </row>
    <row r="346">
      <c r="A346" s="114"/>
      <c r="B346" s="36"/>
      <c r="C346" s="36"/>
      <c r="D346" s="36"/>
      <c r="E346" s="36"/>
      <c r="F346" s="36"/>
      <c r="G346" s="36"/>
      <c r="H346" s="36"/>
      <c r="I346" s="41"/>
      <c r="J346" s="36"/>
      <c r="K346" s="36"/>
      <c r="L346" s="36"/>
    </row>
    <row r="347">
      <c r="A347" s="114"/>
      <c r="B347" s="36"/>
      <c r="C347" s="36"/>
      <c r="D347" s="36"/>
      <c r="E347" s="36"/>
      <c r="F347" s="36"/>
      <c r="G347" s="36"/>
      <c r="H347" s="36"/>
      <c r="I347" s="41"/>
      <c r="J347" s="36"/>
      <c r="K347" s="36"/>
      <c r="L347" s="36"/>
    </row>
    <row r="348">
      <c r="A348" s="114"/>
      <c r="B348" s="36"/>
      <c r="C348" s="36"/>
      <c r="D348" s="36"/>
      <c r="E348" s="36"/>
      <c r="F348" s="36"/>
      <c r="G348" s="36"/>
      <c r="H348" s="36"/>
      <c r="I348" s="41"/>
      <c r="J348" s="36"/>
      <c r="K348" s="36"/>
      <c r="L348" s="36"/>
    </row>
    <row r="349">
      <c r="A349" s="114"/>
      <c r="B349" s="36"/>
      <c r="C349" s="36"/>
      <c r="D349" s="36"/>
      <c r="E349" s="36"/>
      <c r="F349" s="36"/>
      <c r="G349" s="36"/>
      <c r="H349" s="36"/>
      <c r="I349" s="41"/>
      <c r="J349" s="36"/>
      <c r="K349" s="36"/>
      <c r="L349" s="36"/>
    </row>
    <row r="350">
      <c r="A350" s="114"/>
      <c r="B350" s="36"/>
      <c r="C350" s="36"/>
      <c r="D350" s="36"/>
      <c r="E350" s="36"/>
      <c r="F350" s="36"/>
      <c r="G350" s="36"/>
      <c r="H350" s="36"/>
      <c r="I350" s="41"/>
      <c r="J350" s="36"/>
      <c r="K350" s="36"/>
      <c r="L350" s="36"/>
    </row>
    <row r="351">
      <c r="A351" s="114"/>
      <c r="B351" s="36"/>
      <c r="C351" s="36"/>
      <c r="D351" s="36"/>
      <c r="E351" s="36"/>
      <c r="F351" s="36"/>
      <c r="G351" s="36"/>
      <c r="H351" s="36"/>
      <c r="I351" s="41"/>
      <c r="J351" s="36"/>
      <c r="K351" s="36"/>
      <c r="L351" s="36"/>
    </row>
    <row r="352">
      <c r="A352" s="114"/>
      <c r="B352" s="36"/>
      <c r="C352" s="36"/>
      <c r="D352" s="36"/>
      <c r="E352" s="36"/>
      <c r="F352" s="36"/>
      <c r="G352" s="36"/>
      <c r="H352" s="36"/>
      <c r="I352" s="41"/>
      <c r="J352" s="36"/>
      <c r="K352" s="36"/>
      <c r="L352" s="36"/>
    </row>
    <row r="353">
      <c r="A353" s="114"/>
      <c r="B353" s="36"/>
      <c r="C353" s="36"/>
      <c r="D353" s="36"/>
      <c r="E353" s="36"/>
      <c r="F353" s="36"/>
      <c r="G353" s="36"/>
      <c r="H353" s="36"/>
      <c r="I353" s="41"/>
      <c r="J353" s="36"/>
      <c r="K353" s="36"/>
      <c r="L353" s="36"/>
    </row>
    <row r="354">
      <c r="A354" s="114"/>
      <c r="B354" s="36"/>
      <c r="C354" s="36"/>
      <c r="D354" s="36"/>
      <c r="E354" s="36"/>
      <c r="F354" s="36"/>
      <c r="G354" s="36"/>
      <c r="H354" s="36"/>
      <c r="I354" s="41"/>
      <c r="J354" s="36"/>
      <c r="K354" s="36"/>
      <c r="L354" s="36"/>
    </row>
    <row r="355">
      <c r="A355" s="114"/>
      <c r="B355" s="36"/>
      <c r="C355" s="36"/>
      <c r="D355" s="36"/>
      <c r="E355" s="36"/>
      <c r="F355" s="36"/>
      <c r="G355" s="36"/>
      <c r="H355" s="36"/>
      <c r="I355" s="41"/>
      <c r="J355" s="36"/>
      <c r="K355" s="36"/>
      <c r="L355" s="36"/>
    </row>
    <row r="356">
      <c r="A356" s="114"/>
      <c r="B356" s="36"/>
      <c r="C356" s="44"/>
      <c r="D356" s="44"/>
      <c r="E356" s="44"/>
      <c r="F356" s="44"/>
      <c r="G356" s="44"/>
      <c r="H356" s="44"/>
      <c r="I356" s="41"/>
      <c r="J356" s="36"/>
      <c r="K356" s="36"/>
      <c r="L356" s="36"/>
    </row>
    <row r="357">
      <c r="A357" s="114"/>
      <c r="B357" s="36"/>
      <c r="C357" s="44"/>
      <c r="D357" s="44"/>
      <c r="E357" s="44"/>
      <c r="F357" s="44"/>
      <c r="G357" s="44"/>
      <c r="H357" s="44"/>
      <c r="I357" s="41"/>
      <c r="J357" s="36"/>
      <c r="K357" s="36"/>
      <c r="L357" s="36"/>
    </row>
    <row r="358">
      <c r="A358" s="114"/>
      <c r="B358" s="36"/>
      <c r="C358" s="44"/>
      <c r="D358" s="44"/>
      <c r="E358" s="44"/>
      <c r="F358" s="44"/>
      <c r="G358" s="44"/>
      <c r="H358" s="44"/>
      <c r="I358" s="41"/>
      <c r="J358" s="36"/>
      <c r="K358" s="36"/>
      <c r="L358" s="36"/>
    </row>
    <row r="359">
      <c r="A359" s="114"/>
      <c r="B359" s="36"/>
      <c r="C359" s="44"/>
      <c r="D359" s="44"/>
      <c r="E359" s="44"/>
      <c r="F359" s="44"/>
      <c r="G359" s="44"/>
      <c r="H359" s="44"/>
      <c r="I359" s="41"/>
      <c r="J359" s="36"/>
      <c r="K359" s="36"/>
      <c r="L359" s="36"/>
    </row>
    <row r="360">
      <c r="A360" s="114"/>
      <c r="B360" s="36"/>
      <c r="C360" s="36"/>
      <c r="D360" s="36"/>
      <c r="E360" s="36"/>
      <c r="F360" s="36"/>
      <c r="G360" s="36"/>
      <c r="H360" s="36"/>
      <c r="I360" s="41"/>
      <c r="J360" s="36"/>
      <c r="K360" s="36"/>
      <c r="L360" s="36"/>
    </row>
    <row r="361">
      <c r="A361" s="114"/>
      <c r="B361" s="36"/>
      <c r="C361" s="36"/>
      <c r="D361" s="36"/>
      <c r="E361" s="36"/>
      <c r="F361" s="36"/>
      <c r="G361" s="36"/>
      <c r="H361" s="36"/>
      <c r="I361" s="41"/>
      <c r="J361" s="36"/>
      <c r="K361" s="36"/>
      <c r="L361" s="36"/>
    </row>
    <row r="362">
      <c r="A362" s="114"/>
      <c r="B362" s="36"/>
      <c r="C362" s="36"/>
      <c r="D362" s="36"/>
      <c r="E362" s="36"/>
      <c r="F362" s="36"/>
      <c r="G362" s="36"/>
      <c r="H362" s="36"/>
      <c r="I362" s="41"/>
      <c r="J362" s="36"/>
      <c r="K362" s="36"/>
      <c r="L362" s="36"/>
    </row>
    <row r="363">
      <c r="A363" s="114"/>
      <c r="B363" s="36"/>
      <c r="C363" s="36"/>
      <c r="D363" s="36"/>
      <c r="E363" s="36"/>
      <c r="F363" s="36"/>
      <c r="G363" s="36"/>
      <c r="H363" s="36"/>
      <c r="I363" s="41"/>
      <c r="J363" s="36"/>
      <c r="K363" s="36"/>
      <c r="L363" s="36"/>
    </row>
    <row r="364">
      <c r="A364" s="114"/>
      <c r="B364" s="36"/>
      <c r="C364" s="36"/>
      <c r="D364" s="36"/>
      <c r="E364" s="36"/>
      <c r="F364" s="36"/>
      <c r="G364" s="36"/>
      <c r="H364" s="36"/>
      <c r="I364" s="41"/>
      <c r="J364" s="36"/>
      <c r="K364" s="36"/>
      <c r="L364" s="36"/>
    </row>
    <row r="365">
      <c r="A365" s="114"/>
      <c r="B365" s="36"/>
      <c r="C365" s="36"/>
      <c r="D365" s="36"/>
      <c r="E365" s="36"/>
      <c r="F365" s="36"/>
      <c r="G365" s="36"/>
      <c r="H365" s="36"/>
      <c r="I365" s="41"/>
      <c r="J365" s="36"/>
      <c r="K365" s="36"/>
      <c r="L365" s="36"/>
    </row>
    <row r="366">
      <c r="A366" s="114"/>
      <c r="B366" s="36"/>
      <c r="C366" s="36"/>
      <c r="D366" s="36"/>
      <c r="E366" s="36"/>
      <c r="F366" s="36"/>
      <c r="G366" s="36"/>
      <c r="H366" s="36"/>
      <c r="I366" s="41"/>
      <c r="J366" s="36"/>
      <c r="K366" s="36"/>
      <c r="L366" s="36"/>
    </row>
    <row r="367">
      <c r="A367" s="114"/>
      <c r="B367" s="36"/>
      <c r="C367" s="36"/>
      <c r="D367" s="36"/>
      <c r="E367" s="36"/>
      <c r="F367" s="36"/>
      <c r="G367" s="36"/>
      <c r="H367" s="36"/>
      <c r="I367" s="41"/>
      <c r="J367" s="36"/>
      <c r="K367" s="36"/>
      <c r="L367" s="36"/>
    </row>
    <row r="368">
      <c r="A368" s="114"/>
      <c r="B368" s="36"/>
      <c r="C368" s="44"/>
      <c r="D368" s="44"/>
      <c r="E368" s="44"/>
      <c r="F368" s="44"/>
      <c r="G368" s="44"/>
      <c r="H368" s="44"/>
      <c r="I368" s="41"/>
      <c r="J368" s="36"/>
      <c r="K368" s="36"/>
      <c r="L368" s="36"/>
    </row>
    <row r="369">
      <c r="A369" s="114"/>
      <c r="B369" s="36"/>
      <c r="C369" s="44"/>
      <c r="D369" s="44"/>
      <c r="E369" s="44"/>
      <c r="F369" s="44"/>
      <c r="G369" s="44"/>
      <c r="H369" s="44"/>
      <c r="I369" s="41"/>
      <c r="J369" s="36"/>
      <c r="K369" s="36"/>
      <c r="L369" s="36"/>
    </row>
    <row r="370">
      <c r="A370" s="114"/>
      <c r="B370" s="36"/>
      <c r="C370" s="44"/>
      <c r="D370" s="44"/>
      <c r="E370" s="44"/>
      <c r="F370" s="44"/>
      <c r="G370" s="44"/>
      <c r="H370" s="44"/>
      <c r="I370" s="41"/>
      <c r="J370" s="36"/>
      <c r="K370" s="36"/>
      <c r="L370" s="36"/>
    </row>
    <row r="371">
      <c r="A371" s="114"/>
      <c r="B371" s="36"/>
      <c r="C371" s="44"/>
      <c r="D371" s="44"/>
      <c r="E371" s="44"/>
      <c r="F371" s="44"/>
      <c r="G371" s="44"/>
      <c r="H371" s="44"/>
      <c r="I371" s="41"/>
      <c r="J371" s="36"/>
      <c r="K371" s="36"/>
      <c r="L371" s="36"/>
    </row>
    <row r="372">
      <c r="A372" s="114"/>
      <c r="B372" s="36"/>
      <c r="C372" s="36"/>
      <c r="D372" s="36"/>
      <c r="E372" s="36"/>
      <c r="F372" s="36"/>
      <c r="G372" s="36"/>
      <c r="H372" s="36"/>
      <c r="I372" s="41"/>
      <c r="J372" s="36"/>
      <c r="K372" s="36"/>
      <c r="L372" s="36"/>
    </row>
    <row r="373">
      <c r="A373" s="114"/>
      <c r="B373" s="36"/>
      <c r="C373" s="36"/>
      <c r="D373" s="36"/>
      <c r="E373" s="36"/>
      <c r="F373" s="36"/>
      <c r="G373" s="36"/>
      <c r="H373" s="36"/>
      <c r="I373" s="41"/>
      <c r="J373" s="36"/>
      <c r="K373" s="36"/>
      <c r="L373" s="36"/>
    </row>
    <row r="374">
      <c r="A374" s="114"/>
      <c r="B374" s="36"/>
      <c r="C374" s="36"/>
      <c r="D374" s="36"/>
      <c r="E374" s="36"/>
      <c r="F374" s="36"/>
      <c r="G374" s="36"/>
      <c r="H374" s="36"/>
      <c r="I374" s="41"/>
      <c r="J374" s="36"/>
      <c r="K374" s="36"/>
      <c r="L374" s="36"/>
    </row>
    <row r="375">
      <c r="A375" s="114"/>
      <c r="B375" s="36"/>
      <c r="C375" s="36"/>
      <c r="D375" s="36"/>
      <c r="E375" s="36"/>
      <c r="F375" s="36"/>
      <c r="G375" s="36"/>
      <c r="H375" s="36"/>
      <c r="I375" s="41"/>
      <c r="J375" s="36"/>
      <c r="K375" s="36"/>
      <c r="L375" s="36"/>
    </row>
    <row r="376">
      <c r="A376" s="114"/>
      <c r="B376" s="36"/>
      <c r="C376" s="36"/>
      <c r="D376" s="36"/>
      <c r="E376" s="36"/>
      <c r="F376" s="36"/>
      <c r="G376" s="36"/>
      <c r="H376" s="36"/>
      <c r="I376" s="41"/>
      <c r="J376" s="36"/>
      <c r="K376" s="36"/>
      <c r="L376" s="36"/>
    </row>
    <row r="377">
      <c r="A377" s="114"/>
      <c r="B377" s="36"/>
      <c r="C377" s="36"/>
      <c r="D377" s="36"/>
      <c r="E377" s="36"/>
      <c r="F377" s="36"/>
      <c r="G377" s="36"/>
      <c r="H377" s="36"/>
      <c r="I377" s="41"/>
      <c r="J377" s="36"/>
      <c r="K377" s="36"/>
      <c r="L377" s="36"/>
    </row>
    <row r="378">
      <c r="A378" s="114"/>
      <c r="B378" s="36"/>
      <c r="C378" s="36"/>
      <c r="D378" s="36"/>
      <c r="E378" s="36"/>
      <c r="F378" s="36"/>
      <c r="G378" s="36"/>
      <c r="H378" s="36"/>
      <c r="I378" s="41"/>
      <c r="J378" s="36"/>
      <c r="K378" s="36"/>
      <c r="L378" s="36"/>
    </row>
    <row r="379">
      <c r="A379" s="114"/>
      <c r="B379" s="36"/>
      <c r="C379" s="36"/>
      <c r="D379" s="36"/>
      <c r="E379" s="36"/>
      <c r="F379" s="36"/>
      <c r="G379" s="36"/>
      <c r="H379" s="36"/>
      <c r="I379" s="41"/>
      <c r="J379" s="36"/>
      <c r="K379" s="36"/>
      <c r="L379" s="36"/>
    </row>
    <row r="380">
      <c r="A380" s="114"/>
      <c r="B380" s="36"/>
      <c r="C380" s="36"/>
      <c r="D380" s="36"/>
      <c r="E380" s="36"/>
      <c r="F380" s="36"/>
      <c r="G380" s="36"/>
      <c r="H380" s="36"/>
      <c r="I380" s="41"/>
      <c r="J380" s="36"/>
      <c r="K380" s="36"/>
      <c r="L380" s="36"/>
    </row>
    <row r="381">
      <c r="A381" s="114"/>
      <c r="B381" s="36"/>
      <c r="C381" s="44"/>
      <c r="D381" s="44"/>
      <c r="E381" s="44"/>
      <c r="F381" s="44"/>
      <c r="G381" s="44"/>
      <c r="H381" s="44"/>
      <c r="I381" s="41"/>
      <c r="J381" s="36"/>
      <c r="K381" s="36"/>
      <c r="L381" s="36"/>
    </row>
    <row r="382">
      <c r="A382" s="114"/>
      <c r="B382" s="36"/>
      <c r="C382" s="44"/>
      <c r="D382" s="44"/>
      <c r="E382" s="44"/>
      <c r="F382" s="44"/>
      <c r="G382" s="44"/>
      <c r="H382" s="44"/>
      <c r="I382" s="41"/>
      <c r="J382" s="36"/>
      <c r="K382" s="36"/>
      <c r="L382" s="36"/>
    </row>
    <row r="383">
      <c r="A383" s="114"/>
      <c r="B383" s="36"/>
      <c r="C383" s="44"/>
      <c r="D383" s="44"/>
      <c r="E383" s="44"/>
      <c r="F383" s="44"/>
      <c r="G383" s="44"/>
      <c r="H383" s="44"/>
      <c r="I383" s="41"/>
      <c r="J383" s="36"/>
      <c r="K383" s="36"/>
      <c r="L383" s="36"/>
    </row>
    <row r="384">
      <c r="A384" s="114"/>
      <c r="B384" s="36"/>
      <c r="C384" s="44"/>
      <c r="D384" s="44"/>
      <c r="E384" s="44"/>
      <c r="F384" s="44"/>
      <c r="G384" s="44"/>
      <c r="H384" s="44"/>
      <c r="I384" s="41"/>
      <c r="J384" s="36"/>
      <c r="K384" s="36"/>
      <c r="L384" s="36"/>
    </row>
    <row r="385">
      <c r="A385" s="114"/>
      <c r="B385" s="36"/>
      <c r="C385" s="44"/>
      <c r="D385" s="44"/>
      <c r="E385" s="44"/>
      <c r="F385" s="44"/>
      <c r="G385" s="44"/>
      <c r="H385" s="44"/>
      <c r="I385" s="41"/>
      <c r="J385" s="36"/>
      <c r="K385" s="36"/>
      <c r="L385" s="36"/>
    </row>
    <row r="386">
      <c r="A386" s="114"/>
      <c r="B386" s="36"/>
      <c r="C386" s="44"/>
      <c r="D386" s="44"/>
      <c r="E386" s="44"/>
      <c r="F386" s="44"/>
      <c r="G386" s="44"/>
      <c r="H386" s="44"/>
      <c r="I386" s="41"/>
      <c r="J386" s="36"/>
      <c r="K386" s="36"/>
      <c r="L386" s="36"/>
    </row>
    <row r="387">
      <c r="A387" s="114"/>
      <c r="B387" s="36"/>
      <c r="C387" s="44"/>
      <c r="D387" s="44"/>
      <c r="E387" s="44"/>
      <c r="F387" s="44"/>
      <c r="G387" s="44"/>
      <c r="H387" s="44"/>
      <c r="I387" s="41"/>
      <c r="J387" s="36"/>
      <c r="K387" s="36"/>
      <c r="L387" s="36"/>
    </row>
    <row r="388">
      <c r="A388" s="114"/>
      <c r="B388" s="36"/>
      <c r="C388" s="44"/>
      <c r="D388" s="44"/>
      <c r="E388" s="44"/>
      <c r="F388" s="44"/>
      <c r="G388" s="44"/>
      <c r="H388" s="44"/>
      <c r="I388" s="41"/>
      <c r="J388" s="36"/>
      <c r="K388" s="36"/>
      <c r="L388" s="36"/>
    </row>
    <row r="389">
      <c r="A389" s="114"/>
      <c r="B389" s="36"/>
      <c r="C389" s="44"/>
      <c r="D389" s="44"/>
      <c r="E389" s="44"/>
      <c r="F389" s="44"/>
      <c r="G389" s="44"/>
      <c r="H389" s="44"/>
      <c r="I389" s="41"/>
      <c r="J389" s="36"/>
      <c r="K389" s="36"/>
      <c r="L389" s="36"/>
    </row>
    <row r="390">
      <c r="A390" s="114"/>
      <c r="B390" s="36"/>
      <c r="C390" s="44"/>
      <c r="D390" s="44"/>
      <c r="E390" s="44"/>
      <c r="F390" s="44"/>
      <c r="G390" s="44"/>
      <c r="H390" s="44"/>
      <c r="I390" s="41"/>
      <c r="J390" s="36"/>
      <c r="K390" s="36"/>
      <c r="L390" s="36"/>
    </row>
    <row r="391">
      <c r="A391" s="114"/>
      <c r="B391" s="36"/>
      <c r="C391" s="44"/>
      <c r="D391" s="44"/>
      <c r="E391" s="44"/>
      <c r="F391" s="44"/>
      <c r="G391" s="44"/>
      <c r="H391" s="44"/>
      <c r="I391" s="41"/>
      <c r="J391" s="36"/>
      <c r="K391" s="36"/>
      <c r="L391" s="36"/>
    </row>
    <row r="392">
      <c r="A392" s="114"/>
      <c r="B392" s="36"/>
      <c r="C392" s="44"/>
      <c r="D392" s="44"/>
      <c r="E392" s="44"/>
      <c r="F392" s="44"/>
      <c r="G392" s="44"/>
      <c r="H392" s="44"/>
      <c r="I392" s="41"/>
      <c r="J392" s="36"/>
      <c r="K392" s="36"/>
      <c r="L392" s="36"/>
    </row>
    <row r="393">
      <c r="A393" s="114"/>
      <c r="B393" s="36"/>
      <c r="C393" s="44"/>
      <c r="D393" s="44"/>
      <c r="E393" s="44"/>
      <c r="F393" s="44"/>
      <c r="G393" s="44"/>
      <c r="H393" s="44"/>
      <c r="I393" s="41"/>
      <c r="J393" s="36"/>
      <c r="K393" s="36"/>
      <c r="L393" s="36"/>
    </row>
    <row r="394">
      <c r="A394" s="114"/>
      <c r="B394" s="36"/>
      <c r="C394" s="44"/>
      <c r="D394" s="44"/>
      <c r="E394" s="44"/>
      <c r="F394" s="44"/>
      <c r="G394" s="44"/>
      <c r="H394" s="44"/>
      <c r="I394" s="41"/>
      <c r="J394" s="36"/>
      <c r="K394" s="36"/>
      <c r="L394" s="36"/>
    </row>
    <row r="395">
      <c r="A395" s="114"/>
      <c r="B395" s="36"/>
      <c r="C395" s="44"/>
      <c r="D395" s="44"/>
      <c r="E395" s="44"/>
      <c r="F395" s="44"/>
      <c r="G395" s="44"/>
      <c r="H395" s="44"/>
      <c r="I395" s="41"/>
      <c r="J395" s="36"/>
      <c r="K395" s="36"/>
      <c r="L395" s="36"/>
    </row>
    <row r="396">
      <c r="A396" s="114"/>
      <c r="B396" s="36"/>
      <c r="C396" s="44"/>
      <c r="D396" s="44"/>
      <c r="E396" s="44"/>
      <c r="F396" s="44"/>
      <c r="G396" s="44"/>
      <c r="H396" s="44"/>
      <c r="I396" s="41"/>
      <c r="J396" s="36"/>
      <c r="K396" s="36"/>
      <c r="L396" s="36"/>
    </row>
    <row r="397">
      <c r="A397" s="114"/>
      <c r="B397" s="36"/>
      <c r="C397" s="44"/>
      <c r="D397" s="44"/>
      <c r="E397" s="44"/>
      <c r="F397" s="44"/>
      <c r="G397" s="44"/>
      <c r="H397" s="44"/>
      <c r="I397" s="41"/>
      <c r="J397" s="36"/>
      <c r="K397" s="36"/>
      <c r="L397" s="36"/>
    </row>
    <row r="398">
      <c r="A398" s="114"/>
      <c r="B398" s="36"/>
      <c r="C398" s="44"/>
      <c r="D398" s="44"/>
      <c r="E398" s="44"/>
      <c r="F398" s="44"/>
      <c r="G398" s="44"/>
      <c r="H398" s="44"/>
      <c r="I398" s="41"/>
      <c r="J398" s="36"/>
      <c r="K398" s="36"/>
      <c r="L398" s="36"/>
    </row>
    <row r="399">
      <c r="A399" s="114"/>
      <c r="B399" s="36"/>
      <c r="C399" s="44"/>
      <c r="D399" s="44"/>
      <c r="E399" s="44"/>
      <c r="F399" s="44"/>
      <c r="G399" s="44"/>
      <c r="H399" s="44"/>
      <c r="I399" s="41"/>
      <c r="J399" s="36"/>
      <c r="K399" s="36"/>
      <c r="L399" s="36"/>
    </row>
    <row r="400">
      <c r="A400" s="114"/>
      <c r="B400" s="36"/>
      <c r="C400" s="44"/>
      <c r="D400" s="44"/>
      <c r="E400" s="44"/>
      <c r="F400" s="44"/>
      <c r="G400" s="44"/>
      <c r="H400" s="44"/>
      <c r="I400" s="41"/>
      <c r="J400" s="36"/>
      <c r="K400" s="36"/>
      <c r="L400" s="36"/>
    </row>
    <row r="401">
      <c r="A401" s="114"/>
      <c r="B401" s="36"/>
      <c r="C401" s="44"/>
      <c r="D401" s="44"/>
      <c r="E401" s="44"/>
      <c r="F401" s="44"/>
      <c r="G401" s="44"/>
      <c r="H401" s="44"/>
      <c r="I401" s="41"/>
      <c r="J401" s="36"/>
      <c r="K401" s="36"/>
      <c r="L401" s="36"/>
    </row>
    <row r="402">
      <c r="A402" s="114"/>
      <c r="B402" s="36"/>
      <c r="C402" s="44"/>
      <c r="D402" s="44"/>
      <c r="E402" s="44"/>
      <c r="F402" s="44"/>
      <c r="G402" s="44"/>
      <c r="H402" s="44"/>
      <c r="I402" s="41"/>
      <c r="J402" s="36"/>
      <c r="K402" s="36"/>
      <c r="L402" s="36"/>
    </row>
    <row r="403">
      <c r="A403" s="114"/>
      <c r="B403" s="36"/>
      <c r="C403" s="44"/>
      <c r="D403" s="44"/>
      <c r="E403" s="44"/>
      <c r="F403" s="44"/>
      <c r="G403" s="44"/>
      <c r="H403" s="44"/>
      <c r="I403" s="41"/>
      <c r="J403" s="36"/>
      <c r="K403" s="36"/>
      <c r="L403" s="36"/>
    </row>
    <row r="404">
      <c r="A404" s="114"/>
      <c r="B404" s="36"/>
      <c r="C404" s="44"/>
      <c r="D404" s="44"/>
      <c r="E404" s="44"/>
      <c r="F404" s="44"/>
      <c r="G404" s="44"/>
      <c r="H404" s="44"/>
      <c r="I404" s="41"/>
      <c r="J404" s="36"/>
      <c r="K404" s="36"/>
      <c r="L404" s="36"/>
    </row>
    <row r="405">
      <c r="A405" s="114"/>
      <c r="B405" s="36"/>
      <c r="C405" s="44"/>
      <c r="D405" s="44"/>
      <c r="E405" s="44"/>
      <c r="F405" s="44"/>
      <c r="G405" s="44"/>
      <c r="H405" s="44"/>
      <c r="I405" s="41"/>
      <c r="J405" s="36"/>
      <c r="K405" s="36"/>
      <c r="L405" s="36"/>
    </row>
    <row r="406">
      <c r="A406" s="114"/>
      <c r="B406" s="36"/>
      <c r="C406" s="44"/>
      <c r="D406" s="44"/>
      <c r="E406" s="44"/>
      <c r="F406" s="44"/>
      <c r="G406" s="44"/>
      <c r="H406" s="44"/>
      <c r="I406" s="41"/>
      <c r="J406" s="36"/>
      <c r="K406" s="36"/>
      <c r="L406" s="36"/>
    </row>
    <row r="407">
      <c r="A407" s="114"/>
      <c r="B407" s="36"/>
      <c r="C407" s="44"/>
      <c r="D407" s="44"/>
      <c r="E407" s="44"/>
      <c r="F407" s="44"/>
      <c r="G407" s="44"/>
      <c r="H407" s="44"/>
      <c r="I407" s="41"/>
      <c r="J407" s="36"/>
      <c r="K407" s="36"/>
      <c r="L407" s="36"/>
    </row>
    <row r="408">
      <c r="A408" s="114"/>
      <c r="B408" s="36"/>
      <c r="C408" s="44"/>
      <c r="D408" s="44"/>
      <c r="E408" s="44"/>
      <c r="F408" s="44"/>
      <c r="G408" s="44"/>
      <c r="H408" s="44"/>
      <c r="I408" s="41"/>
      <c r="J408" s="36"/>
      <c r="K408" s="36"/>
      <c r="L408" s="36"/>
    </row>
    <row r="409">
      <c r="A409" s="114"/>
      <c r="B409" s="36"/>
      <c r="C409" s="44"/>
      <c r="D409" s="44"/>
      <c r="E409" s="44"/>
      <c r="F409" s="44"/>
      <c r="G409" s="44"/>
      <c r="H409" s="44"/>
      <c r="I409" s="41"/>
      <c r="J409" s="36"/>
      <c r="K409" s="36"/>
      <c r="L409" s="36"/>
    </row>
    <row r="410">
      <c r="A410" s="114"/>
      <c r="B410" s="36"/>
      <c r="C410" s="44"/>
      <c r="D410" s="44"/>
      <c r="E410" s="44"/>
      <c r="F410" s="44"/>
      <c r="G410" s="44"/>
      <c r="H410" s="44"/>
      <c r="I410" s="41"/>
      <c r="J410" s="36"/>
      <c r="K410" s="36"/>
      <c r="L410" s="36"/>
    </row>
    <row r="411">
      <c r="A411" s="114"/>
      <c r="B411" s="36"/>
      <c r="C411" s="44"/>
      <c r="D411" s="44"/>
      <c r="E411" s="44"/>
      <c r="F411" s="44"/>
      <c r="G411" s="44"/>
      <c r="H411" s="44"/>
      <c r="I411" s="41"/>
      <c r="J411" s="36"/>
      <c r="K411" s="36"/>
      <c r="L411" s="36"/>
    </row>
    <row r="412">
      <c r="A412" s="114"/>
      <c r="B412" s="36"/>
      <c r="C412" s="44"/>
      <c r="D412" s="44"/>
      <c r="E412" s="44"/>
      <c r="F412" s="44"/>
      <c r="G412" s="44"/>
      <c r="H412" s="44"/>
      <c r="I412" s="41"/>
      <c r="J412" s="36"/>
      <c r="K412" s="36"/>
      <c r="L412" s="36"/>
    </row>
    <row r="413">
      <c r="A413" s="114"/>
      <c r="B413" s="36"/>
      <c r="C413" s="44"/>
      <c r="D413" s="44"/>
      <c r="E413" s="44"/>
      <c r="F413" s="44"/>
      <c r="G413" s="44"/>
      <c r="H413" s="44"/>
      <c r="I413" s="41"/>
      <c r="J413" s="36"/>
      <c r="K413" s="36"/>
      <c r="L413" s="36"/>
    </row>
    <row r="414">
      <c r="A414" s="114"/>
      <c r="B414" s="36"/>
      <c r="C414" s="44"/>
      <c r="D414" s="44"/>
      <c r="E414" s="44"/>
      <c r="F414" s="44"/>
      <c r="G414" s="44"/>
      <c r="H414" s="44"/>
      <c r="I414" s="41"/>
      <c r="J414" s="36"/>
      <c r="K414" s="36"/>
      <c r="L414" s="36"/>
    </row>
    <row r="415">
      <c r="A415" s="114"/>
      <c r="B415" s="36"/>
      <c r="C415" s="44"/>
      <c r="D415" s="44"/>
      <c r="E415" s="44"/>
      <c r="F415" s="44"/>
      <c r="G415" s="44"/>
      <c r="H415" s="44"/>
      <c r="I415" s="41"/>
      <c r="J415" s="36"/>
      <c r="K415" s="36"/>
      <c r="L415" s="36"/>
    </row>
    <row r="416">
      <c r="A416" s="114"/>
      <c r="B416" s="36"/>
      <c r="C416" s="44"/>
      <c r="D416" s="44"/>
      <c r="E416" s="44"/>
      <c r="F416" s="44"/>
      <c r="G416" s="44"/>
      <c r="H416" s="44"/>
      <c r="I416" s="41"/>
      <c r="J416" s="36"/>
      <c r="K416" s="36"/>
      <c r="L416" s="36"/>
    </row>
    <row r="417">
      <c r="A417" s="114"/>
      <c r="B417" s="36"/>
      <c r="C417" s="44"/>
      <c r="D417" s="44"/>
      <c r="E417" s="44"/>
      <c r="F417" s="44"/>
      <c r="G417" s="44"/>
      <c r="H417" s="44"/>
      <c r="I417" s="41"/>
      <c r="J417" s="36"/>
      <c r="K417" s="36"/>
      <c r="L417" s="36"/>
    </row>
    <row r="418">
      <c r="A418" s="114"/>
      <c r="B418" s="36"/>
      <c r="C418" s="44"/>
      <c r="D418" s="44"/>
      <c r="E418" s="44"/>
      <c r="F418" s="44"/>
      <c r="G418" s="44"/>
      <c r="H418" s="44"/>
      <c r="I418" s="41"/>
      <c r="J418" s="36"/>
      <c r="K418" s="36"/>
      <c r="L418" s="36"/>
    </row>
    <row r="419">
      <c r="A419" s="114"/>
      <c r="B419" s="36"/>
      <c r="C419" s="44"/>
      <c r="D419" s="44"/>
      <c r="E419" s="44"/>
      <c r="F419" s="44"/>
      <c r="G419" s="44"/>
      <c r="H419" s="44"/>
      <c r="I419" s="41"/>
      <c r="J419" s="36"/>
      <c r="K419" s="36"/>
      <c r="L419" s="36"/>
    </row>
    <row r="420">
      <c r="A420" s="114"/>
      <c r="B420" s="36"/>
      <c r="C420" s="44"/>
      <c r="D420" s="44"/>
      <c r="E420" s="44"/>
      <c r="F420" s="44"/>
      <c r="G420" s="44"/>
      <c r="H420" s="44"/>
      <c r="I420" s="41"/>
      <c r="J420" s="36"/>
      <c r="K420" s="36"/>
      <c r="L420" s="36"/>
    </row>
    <row r="421">
      <c r="A421" s="114"/>
      <c r="B421" s="36"/>
      <c r="C421" s="44"/>
      <c r="D421" s="44"/>
      <c r="E421" s="44"/>
      <c r="F421" s="44"/>
      <c r="G421" s="44"/>
      <c r="H421" s="44"/>
      <c r="I421" s="41"/>
      <c r="J421" s="36"/>
      <c r="K421" s="36"/>
      <c r="L421" s="36"/>
    </row>
    <row r="422">
      <c r="A422" s="114"/>
      <c r="B422" s="36"/>
      <c r="C422" s="44"/>
      <c r="D422" s="44"/>
      <c r="E422" s="44"/>
      <c r="F422" s="44"/>
      <c r="G422" s="44"/>
      <c r="H422" s="44"/>
      <c r="I422" s="41"/>
      <c r="J422" s="36"/>
      <c r="K422" s="36"/>
      <c r="L422" s="36"/>
    </row>
    <row r="423">
      <c r="A423" s="114"/>
      <c r="B423" s="36"/>
      <c r="C423" s="44"/>
      <c r="D423" s="44"/>
      <c r="E423" s="44"/>
      <c r="F423" s="44"/>
      <c r="G423" s="44"/>
      <c r="H423" s="44"/>
      <c r="I423" s="41"/>
      <c r="J423" s="36"/>
      <c r="K423" s="36"/>
      <c r="L423" s="36"/>
    </row>
    <row r="424">
      <c r="A424" s="114"/>
      <c r="B424" s="36"/>
      <c r="C424" s="44"/>
      <c r="D424" s="44"/>
      <c r="E424" s="44"/>
      <c r="F424" s="44"/>
      <c r="G424" s="44"/>
      <c r="H424" s="44"/>
      <c r="I424" s="41"/>
      <c r="J424" s="36"/>
      <c r="K424" s="36"/>
      <c r="L424" s="36"/>
    </row>
    <row r="425">
      <c r="A425" s="114"/>
      <c r="B425" s="36"/>
      <c r="C425" s="44"/>
      <c r="D425" s="44"/>
      <c r="E425" s="44"/>
      <c r="F425" s="44"/>
      <c r="G425" s="44"/>
      <c r="H425" s="44"/>
      <c r="I425" s="41"/>
      <c r="J425" s="36"/>
      <c r="K425" s="36"/>
      <c r="L425" s="36"/>
    </row>
    <row r="426">
      <c r="A426" s="114"/>
      <c r="B426" s="36"/>
      <c r="C426" s="44"/>
      <c r="D426" s="44"/>
      <c r="E426" s="44"/>
      <c r="F426" s="44"/>
      <c r="G426" s="44"/>
      <c r="H426" s="44"/>
      <c r="I426" s="41"/>
      <c r="J426" s="36"/>
      <c r="K426" s="36"/>
      <c r="L426" s="36"/>
    </row>
    <row r="427">
      <c r="A427" s="114"/>
      <c r="B427" s="36"/>
      <c r="C427" s="44"/>
      <c r="D427" s="44"/>
      <c r="E427" s="44"/>
      <c r="F427" s="44"/>
      <c r="G427" s="44"/>
      <c r="H427" s="44"/>
      <c r="I427" s="41"/>
      <c r="J427" s="36"/>
      <c r="K427" s="36"/>
      <c r="L427" s="36"/>
    </row>
    <row r="428">
      <c r="A428" s="114"/>
      <c r="B428" s="36"/>
      <c r="C428" s="44"/>
      <c r="D428" s="44"/>
      <c r="E428" s="44"/>
      <c r="F428" s="44"/>
      <c r="G428" s="44"/>
      <c r="H428" s="44"/>
      <c r="I428" s="41"/>
      <c r="J428" s="36"/>
      <c r="K428" s="36"/>
      <c r="L428" s="36"/>
    </row>
    <row r="429">
      <c r="A429" s="114"/>
      <c r="B429" s="36"/>
      <c r="C429" s="44"/>
      <c r="D429" s="44"/>
      <c r="E429" s="44"/>
      <c r="F429" s="44"/>
      <c r="G429" s="44"/>
      <c r="H429" s="44"/>
      <c r="I429" s="41"/>
      <c r="J429" s="36"/>
      <c r="K429" s="36"/>
      <c r="L429" s="36"/>
    </row>
    <row r="430">
      <c r="A430" s="114"/>
      <c r="B430" s="36"/>
      <c r="C430" s="44"/>
      <c r="D430" s="44"/>
      <c r="E430" s="44"/>
      <c r="F430" s="44"/>
      <c r="G430" s="44"/>
      <c r="H430" s="44"/>
      <c r="I430" s="41"/>
      <c r="J430" s="36"/>
      <c r="K430" s="36"/>
      <c r="L430" s="36"/>
    </row>
    <row r="431">
      <c r="A431" s="114"/>
      <c r="B431" s="36"/>
      <c r="C431" s="44"/>
      <c r="D431" s="44"/>
      <c r="E431" s="44"/>
      <c r="F431" s="44"/>
      <c r="G431" s="44"/>
      <c r="H431" s="44"/>
      <c r="I431" s="41"/>
      <c r="J431" s="36"/>
      <c r="K431" s="36"/>
      <c r="L431" s="36"/>
    </row>
    <row r="432">
      <c r="A432" s="114"/>
      <c r="B432" s="36"/>
      <c r="C432" s="44"/>
      <c r="D432" s="44"/>
      <c r="E432" s="44"/>
      <c r="F432" s="44"/>
      <c r="G432" s="44"/>
      <c r="H432" s="44"/>
      <c r="I432" s="41"/>
      <c r="J432" s="36"/>
      <c r="K432" s="36"/>
      <c r="L432" s="36"/>
    </row>
    <row r="433">
      <c r="A433" s="114"/>
      <c r="B433" s="36"/>
      <c r="C433" s="44"/>
      <c r="D433" s="44"/>
      <c r="E433" s="44"/>
      <c r="F433" s="44"/>
      <c r="G433" s="44"/>
      <c r="H433" s="44"/>
      <c r="I433" s="41"/>
      <c r="J433" s="36"/>
      <c r="K433" s="36"/>
      <c r="L433" s="36"/>
    </row>
    <row r="434">
      <c r="A434" s="114"/>
      <c r="B434" s="36"/>
      <c r="C434" s="44"/>
      <c r="D434" s="44"/>
      <c r="E434" s="44"/>
      <c r="F434" s="44"/>
      <c r="G434" s="44"/>
      <c r="H434" s="44"/>
      <c r="I434" s="41"/>
      <c r="J434" s="36"/>
      <c r="K434" s="36"/>
      <c r="L434" s="36"/>
    </row>
    <row r="435">
      <c r="A435" s="114"/>
      <c r="B435" s="36"/>
      <c r="C435" s="44"/>
      <c r="D435" s="44"/>
      <c r="E435" s="44"/>
      <c r="F435" s="44"/>
      <c r="G435" s="44"/>
      <c r="H435" s="44"/>
      <c r="I435" s="41"/>
      <c r="J435" s="36"/>
      <c r="K435" s="36"/>
      <c r="L435" s="36"/>
    </row>
    <row r="436">
      <c r="A436" s="114"/>
      <c r="B436" s="36"/>
      <c r="C436" s="44"/>
      <c r="D436" s="44"/>
      <c r="E436" s="44"/>
      <c r="F436" s="44"/>
      <c r="G436" s="44"/>
      <c r="H436" s="44"/>
      <c r="I436" s="41"/>
      <c r="J436" s="36"/>
      <c r="K436" s="36"/>
      <c r="L436" s="36"/>
    </row>
    <row r="437">
      <c r="A437" s="114"/>
      <c r="B437" s="36"/>
      <c r="C437" s="44"/>
      <c r="D437" s="44"/>
      <c r="E437" s="44"/>
      <c r="F437" s="44"/>
      <c r="G437" s="44"/>
      <c r="H437" s="44"/>
      <c r="I437" s="41"/>
      <c r="J437" s="36"/>
      <c r="K437" s="36"/>
      <c r="L437" s="36"/>
    </row>
    <row r="438">
      <c r="A438" s="114"/>
      <c r="B438" s="36"/>
      <c r="C438" s="44"/>
      <c r="D438" s="44"/>
      <c r="E438" s="44"/>
      <c r="F438" s="44"/>
      <c r="G438" s="44"/>
      <c r="H438" s="44"/>
      <c r="I438" s="41"/>
      <c r="J438" s="36"/>
      <c r="K438" s="36"/>
      <c r="L438" s="36"/>
    </row>
    <row r="439">
      <c r="A439" s="114"/>
      <c r="B439" s="36"/>
      <c r="C439" s="44"/>
      <c r="D439" s="44"/>
      <c r="E439" s="44"/>
      <c r="F439" s="44"/>
      <c r="G439" s="44"/>
      <c r="H439" s="44"/>
      <c r="I439" s="41"/>
      <c r="J439" s="36"/>
      <c r="K439" s="36"/>
      <c r="L439" s="36"/>
    </row>
    <row r="440">
      <c r="A440" s="114"/>
      <c r="B440" s="36"/>
      <c r="C440" s="44"/>
      <c r="D440" s="44"/>
      <c r="E440" s="44"/>
      <c r="F440" s="44"/>
      <c r="G440" s="44"/>
      <c r="H440" s="44"/>
      <c r="I440" s="41"/>
      <c r="J440" s="36"/>
      <c r="K440" s="36"/>
      <c r="L440" s="36"/>
    </row>
    <row r="441">
      <c r="A441" s="114"/>
      <c r="B441" s="36"/>
      <c r="C441" s="44"/>
      <c r="D441" s="44"/>
      <c r="E441" s="44"/>
      <c r="F441" s="44"/>
      <c r="G441" s="44"/>
      <c r="H441" s="44"/>
      <c r="I441" s="41"/>
      <c r="J441" s="36"/>
      <c r="K441" s="36"/>
      <c r="L441" s="36"/>
    </row>
    <row r="442">
      <c r="A442" s="114"/>
      <c r="B442" s="36"/>
      <c r="C442" s="44"/>
      <c r="D442" s="44"/>
      <c r="E442" s="44"/>
      <c r="F442" s="44"/>
      <c r="G442" s="44"/>
      <c r="H442" s="44"/>
      <c r="I442" s="41"/>
      <c r="J442" s="36"/>
      <c r="K442" s="36"/>
      <c r="L442" s="36"/>
    </row>
    <row r="443">
      <c r="A443" s="114"/>
      <c r="B443" s="36"/>
      <c r="C443" s="44"/>
      <c r="D443" s="44"/>
      <c r="E443" s="44"/>
      <c r="F443" s="44"/>
      <c r="G443" s="44"/>
      <c r="H443" s="44"/>
      <c r="I443" s="41"/>
      <c r="J443" s="36"/>
      <c r="K443" s="36"/>
      <c r="L443" s="36"/>
    </row>
    <row r="444">
      <c r="A444" s="114"/>
      <c r="B444" s="36"/>
      <c r="C444" s="44"/>
      <c r="D444" s="44"/>
      <c r="E444" s="44"/>
      <c r="F444" s="44"/>
      <c r="G444" s="44"/>
      <c r="H444" s="44"/>
      <c r="I444" s="41"/>
      <c r="J444" s="36"/>
      <c r="K444" s="36"/>
      <c r="L444" s="36"/>
    </row>
    <row r="445">
      <c r="A445" s="114"/>
      <c r="B445" s="36"/>
      <c r="C445" s="44"/>
      <c r="D445" s="44"/>
      <c r="E445" s="44"/>
      <c r="F445" s="44"/>
      <c r="G445" s="44"/>
      <c r="H445" s="44"/>
      <c r="I445" s="41"/>
      <c r="J445" s="36"/>
      <c r="K445" s="36"/>
      <c r="L445" s="36"/>
    </row>
    <row r="446">
      <c r="A446" s="114"/>
      <c r="B446" s="36"/>
      <c r="C446" s="44"/>
      <c r="D446" s="44"/>
      <c r="E446" s="44"/>
      <c r="F446" s="44"/>
      <c r="G446" s="44"/>
      <c r="H446" s="44"/>
      <c r="I446" s="41"/>
      <c r="J446" s="36"/>
      <c r="K446" s="36"/>
      <c r="L446" s="36"/>
    </row>
    <row r="447">
      <c r="A447" s="114"/>
      <c r="B447" s="36"/>
      <c r="C447" s="44"/>
      <c r="D447" s="44"/>
      <c r="E447" s="44"/>
      <c r="F447" s="44"/>
      <c r="G447" s="44"/>
      <c r="H447" s="44"/>
      <c r="I447" s="41"/>
      <c r="J447" s="36"/>
      <c r="K447" s="36"/>
      <c r="L447" s="36"/>
    </row>
    <row r="448">
      <c r="A448" s="114"/>
      <c r="B448" s="36"/>
      <c r="C448" s="44"/>
      <c r="D448" s="44"/>
      <c r="E448" s="44"/>
      <c r="F448" s="44"/>
      <c r="G448" s="44"/>
      <c r="H448" s="44"/>
      <c r="I448" s="41"/>
      <c r="J448" s="36"/>
      <c r="K448" s="36"/>
      <c r="L448" s="36"/>
    </row>
    <row r="449">
      <c r="A449" s="114"/>
      <c r="B449" s="36"/>
      <c r="C449" s="44"/>
      <c r="D449" s="44"/>
      <c r="E449" s="44"/>
      <c r="F449" s="44"/>
      <c r="G449" s="44"/>
      <c r="H449" s="44"/>
      <c r="I449" s="41"/>
      <c r="J449" s="36"/>
      <c r="K449" s="36"/>
      <c r="L449" s="36"/>
    </row>
    <row r="450">
      <c r="A450" s="114"/>
      <c r="B450" s="36"/>
      <c r="C450" s="44"/>
      <c r="D450" s="44"/>
      <c r="E450" s="44"/>
      <c r="F450" s="44"/>
      <c r="G450" s="44"/>
      <c r="H450" s="44"/>
      <c r="I450" s="41"/>
      <c r="J450" s="36"/>
      <c r="K450" s="36"/>
      <c r="L450" s="36"/>
    </row>
    <row r="451">
      <c r="A451" s="114"/>
      <c r="B451" s="36"/>
      <c r="C451" s="44"/>
      <c r="D451" s="44"/>
      <c r="E451" s="44"/>
      <c r="F451" s="44"/>
      <c r="G451" s="44"/>
      <c r="H451" s="44"/>
      <c r="I451" s="41"/>
      <c r="J451" s="36"/>
      <c r="K451" s="36"/>
      <c r="L451" s="36"/>
    </row>
    <row r="452">
      <c r="A452" s="114"/>
      <c r="B452" s="36"/>
      <c r="C452" s="44"/>
      <c r="D452" s="44"/>
      <c r="E452" s="44"/>
      <c r="F452" s="44"/>
      <c r="G452" s="44"/>
      <c r="H452" s="44"/>
      <c r="I452" s="41"/>
      <c r="J452" s="36"/>
      <c r="K452" s="36"/>
      <c r="L452" s="36"/>
    </row>
    <row r="453">
      <c r="A453" s="114"/>
      <c r="B453" s="36"/>
      <c r="C453" s="44"/>
      <c r="D453" s="44"/>
      <c r="E453" s="44"/>
      <c r="F453" s="44"/>
      <c r="G453" s="44"/>
      <c r="H453" s="44"/>
      <c r="I453" s="41"/>
      <c r="J453" s="36"/>
      <c r="K453" s="36"/>
      <c r="L453" s="36"/>
    </row>
    <row r="454">
      <c r="A454" s="114"/>
      <c r="B454" s="36"/>
      <c r="C454" s="44"/>
      <c r="D454" s="44"/>
      <c r="E454" s="44"/>
      <c r="F454" s="44"/>
      <c r="G454" s="44"/>
      <c r="H454" s="44"/>
      <c r="I454" s="41"/>
      <c r="J454" s="36"/>
      <c r="K454" s="36"/>
      <c r="L454" s="36"/>
    </row>
    <row r="455">
      <c r="A455" s="114"/>
      <c r="B455" s="36"/>
      <c r="C455" s="44"/>
      <c r="D455" s="44"/>
      <c r="E455" s="44"/>
      <c r="F455" s="44"/>
      <c r="G455" s="44"/>
      <c r="H455" s="44"/>
      <c r="I455" s="41"/>
      <c r="J455" s="36"/>
      <c r="K455" s="36"/>
      <c r="L455" s="36"/>
    </row>
    <row r="456">
      <c r="A456" s="114"/>
      <c r="B456" s="36"/>
      <c r="C456" s="44"/>
      <c r="D456" s="44"/>
      <c r="E456" s="44"/>
      <c r="F456" s="44"/>
      <c r="G456" s="44"/>
      <c r="H456" s="44"/>
      <c r="I456" s="41"/>
      <c r="J456" s="36"/>
      <c r="K456" s="36"/>
      <c r="L456" s="36"/>
    </row>
    <row r="457">
      <c r="A457" s="114"/>
      <c r="B457" s="36"/>
      <c r="C457" s="44"/>
      <c r="D457" s="44"/>
      <c r="E457" s="44"/>
      <c r="F457" s="44"/>
      <c r="G457" s="44"/>
      <c r="H457" s="44"/>
      <c r="I457" s="41"/>
      <c r="J457" s="36"/>
      <c r="K457" s="36"/>
      <c r="L457" s="36"/>
    </row>
    <row r="458">
      <c r="A458" s="114"/>
      <c r="B458" s="36"/>
      <c r="C458" s="44"/>
      <c r="D458" s="44"/>
      <c r="E458" s="44"/>
      <c r="F458" s="44"/>
      <c r="G458" s="44"/>
      <c r="H458" s="44"/>
      <c r="I458" s="41"/>
      <c r="J458" s="36"/>
      <c r="K458" s="36"/>
      <c r="L458" s="36"/>
    </row>
    <row r="459">
      <c r="A459" s="114"/>
      <c r="B459" s="36"/>
      <c r="C459" s="44"/>
      <c r="D459" s="44"/>
      <c r="E459" s="44"/>
      <c r="F459" s="44"/>
      <c r="G459" s="44"/>
      <c r="H459" s="44"/>
      <c r="I459" s="41"/>
      <c r="J459" s="36"/>
      <c r="K459" s="36"/>
      <c r="L459" s="36"/>
    </row>
    <row r="460">
      <c r="A460" s="114"/>
      <c r="B460" s="36"/>
      <c r="C460" s="44"/>
      <c r="D460" s="44"/>
      <c r="E460" s="44"/>
      <c r="F460" s="44"/>
      <c r="G460" s="44"/>
      <c r="H460" s="44"/>
      <c r="I460" s="41"/>
      <c r="J460" s="36"/>
      <c r="K460" s="36"/>
      <c r="L460" s="36"/>
    </row>
    <row r="461">
      <c r="A461" s="114"/>
      <c r="B461" s="36"/>
      <c r="C461" s="44"/>
      <c r="D461" s="44"/>
      <c r="E461" s="44"/>
      <c r="F461" s="44"/>
      <c r="G461" s="44"/>
      <c r="H461" s="44"/>
      <c r="I461" s="41"/>
      <c r="J461" s="36"/>
      <c r="K461" s="36"/>
      <c r="L461" s="36"/>
    </row>
    <row r="462">
      <c r="A462" s="114"/>
      <c r="B462" s="36"/>
      <c r="C462" s="44"/>
      <c r="D462" s="44"/>
      <c r="E462" s="44"/>
      <c r="F462" s="44"/>
      <c r="G462" s="44"/>
      <c r="H462" s="44"/>
      <c r="I462" s="41"/>
      <c r="J462" s="36"/>
      <c r="K462" s="36"/>
      <c r="L462" s="36"/>
    </row>
    <row r="463">
      <c r="A463" s="114"/>
      <c r="B463" s="36"/>
      <c r="C463" s="44"/>
      <c r="D463" s="44"/>
      <c r="E463" s="44"/>
      <c r="F463" s="44"/>
      <c r="G463" s="44"/>
      <c r="H463" s="44"/>
      <c r="I463" s="41"/>
      <c r="J463" s="36"/>
      <c r="K463" s="36"/>
      <c r="L463" s="36"/>
    </row>
    <row r="464">
      <c r="A464" s="114"/>
      <c r="B464" s="36"/>
      <c r="C464" s="44"/>
      <c r="D464" s="44"/>
      <c r="E464" s="44"/>
      <c r="F464" s="44"/>
      <c r="G464" s="44"/>
      <c r="H464" s="44"/>
      <c r="I464" s="41"/>
      <c r="J464" s="36"/>
      <c r="K464" s="36"/>
      <c r="L464" s="36"/>
    </row>
    <row r="465">
      <c r="A465" s="114"/>
      <c r="B465" s="36"/>
      <c r="C465" s="44"/>
      <c r="D465" s="44"/>
      <c r="E465" s="44"/>
      <c r="F465" s="44"/>
      <c r="G465" s="44"/>
      <c r="H465" s="44"/>
      <c r="I465" s="41"/>
      <c r="J465" s="36"/>
      <c r="K465" s="36"/>
      <c r="L465" s="36"/>
    </row>
    <row r="466">
      <c r="A466" s="114"/>
      <c r="B466" s="36"/>
      <c r="C466" s="44"/>
      <c r="D466" s="44"/>
      <c r="E466" s="44"/>
      <c r="F466" s="44"/>
      <c r="G466" s="44"/>
      <c r="H466" s="44"/>
      <c r="I466" s="41"/>
      <c r="J466" s="36"/>
      <c r="K466" s="36"/>
      <c r="L466" s="36"/>
    </row>
    <row r="467">
      <c r="A467" s="114"/>
      <c r="B467" s="36"/>
      <c r="C467" s="44"/>
      <c r="D467" s="44"/>
      <c r="E467" s="44"/>
      <c r="F467" s="44"/>
      <c r="G467" s="44"/>
      <c r="H467" s="44"/>
      <c r="I467" s="41"/>
      <c r="J467" s="36"/>
      <c r="K467" s="36"/>
      <c r="L467" s="36"/>
    </row>
    <row r="468">
      <c r="A468" s="114"/>
      <c r="B468" s="36"/>
      <c r="C468" s="44"/>
      <c r="D468" s="44"/>
      <c r="E468" s="44"/>
      <c r="F468" s="44"/>
      <c r="G468" s="44"/>
      <c r="H468" s="44"/>
      <c r="I468" s="41"/>
      <c r="J468" s="36"/>
      <c r="K468" s="36"/>
      <c r="L468" s="36"/>
    </row>
    <row r="469">
      <c r="A469" s="114"/>
      <c r="B469" s="36"/>
      <c r="C469" s="44"/>
      <c r="D469" s="44"/>
      <c r="E469" s="44"/>
      <c r="F469" s="44"/>
      <c r="G469" s="44"/>
      <c r="H469" s="44"/>
      <c r="I469" s="41"/>
      <c r="J469" s="36"/>
      <c r="K469" s="36"/>
      <c r="L469" s="36"/>
    </row>
    <row r="470">
      <c r="A470" s="114"/>
      <c r="B470" s="36"/>
      <c r="C470" s="44"/>
      <c r="D470" s="44"/>
      <c r="E470" s="44"/>
      <c r="F470" s="44"/>
      <c r="G470" s="44"/>
      <c r="H470" s="44"/>
      <c r="I470" s="41"/>
      <c r="J470" s="36"/>
      <c r="K470" s="36"/>
      <c r="L470" s="36"/>
    </row>
    <row r="471">
      <c r="A471" s="114"/>
      <c r="B471" s="36"/>
      <c r="C471" s="44"/>
      <c r="D471" s="44"/>
      <c r="E471" s="44"/>
      <c r="F471" s="44"/>
      <c r="G471" s="44"/>
      <c r="H471" s="44"/>
      <c r="I471" s="41"/>
      <c r="J471" s="36"/>
      <c r="K471" s="36"/>
      <c r="L471" s="36"/>
    </row>
    <row r="472">
      <c r="A472" s="114"/>
      <c r="B472" s="36"/>
      <c r="C472" s="44"/>
      <c r="D472" s="44"/>
      <c r="E472" s="44"/>
      <c r="F472" s="44"/>
      <c r="G472" s="44"/>
      <c r="H472" s="44"/>
      <c r="I472" s="41"/>
      <c r="J472" s="36"/>
      <c r="K472" s="36"/>
      <c r="L472" s="36"/>
    </row>
    <row r="473">
      <c r="A473" s="114"/>
      <c r="B473" s="36"/>
      <c r="C473" s="44"/>
      <c r="D473" s="44"/>
      <c r="E473" s="44"/>
      <c r="F473" s="44"/>
      <c r="G473" s="44"/>
      <c r="H473" s="44"/>
      <c r="I473" s="41"/>
      <c r="J473" s="36"/>
      <c r="K473" s="36"/>
      <c r="L473" s="36"/>
    </row>
    <row r="474">
      <c r="A474" s="114"/>
      <c r="B474" s="36"/>
      <c r="C474" s="44"/>
      <c r="D474" s="44"/>
      <c r="E474" s="44"/>
      <c r="F474" s="44"/>
      <c r="G474" s="44"/>
      <c r="H474" s="44"/>
      <c r="I474" s="41"/>
      <c r="J474" s="36"/>
      <c r="K474" s="36"/>
      <c r="L474" s="36"/>
    </row>
    <row r="475">
      <c r="A475" s="114"/>
      <c r="B475" s="36"/>
      <c r="C475" s="44"/>
      <c r="D475" s="44"/>
      <c r="E475" s="44"/>
      <c r="F475" s="44"/>
      <c r="G475" s="44"/>
      <c r="H475" s="44"/>
      <c r="I475" s="41"/>
      <c r="J475" s="36"/>
      <c r="K475" s="36"/>
      <c r="L475" s="36"/>
    </row>
    <row r="476">
      <c r="A476" s="114"/>
      <c r="B476" s="36"/>
      <c r="C476" s="44"/>
      <c r="D476" s="44"/>
      <c r="E476" s="44"/>
      <c r="F476" s="44"/>
      <c r="G476" s="44"/>
      <c r="H476" s="44"/>
      <c r="I476" s="41"/>
      <c r="J476" s="36"/>
      <c r="K476" s="36"/>
      <c r="L476" s="36"/>
    </row>
    <row r="477">
      <c r="A477" s="114"/>
      <c r="B477" s="36"/>
      <c r="C477" s="44"/>
      <c r="D477" s="44"/>
      <c r="E477" s="44"/>
      <c r="F477" s="44"/>
      <c r="G477" s="44"/>
      <c r="H477" s="44"/>
      <c r="I477" s="41"/>
      <c r="J477" s="36"/>
      <c r="K477" s="36"/>
      <c r="L477" s="36"/>
    </row>
    <row r="478">
      <c r="A478" s="114"/>
      <c r="B478" s="36"/>
      <c r="C478" s="44"/>
      <c r="D478" s="44"/>
      <c r="E478" s="44"/>
      <c r="F478" s="44"/>
      <c r="G478" s="44"/>
      <c r="H478" s="44"/>
      <c r="I478" s="41"/>
      <c r="J478" s="36"/>
      <c r="K478" s="36"/>
      <c r="L478" s="36"/>
    </row>
    <row r="479">
      <c r="A479" s="114"/>
      <c r="B479" s="36"/>
      <c r="C479" s="44"/>
      <c r="D479" s="44"/>
      <c r="E479" s="44"/>
      <c r="F479" s="44"/>
      <c r="G479" s="44"/>
      <c r="H479" s="44"/>
      <c r="I479" s="41"/>
      <c r="J479" s="36"/>
      <c r="K479" s="36"/>
      <c r="L479" s="36"/>
    </row>
    <row r="480">
      <c r="A480" s="114"/>
      <c r="B480" s="36"/>
      <c r="C480" s="44"/>
      <c r="D480" s="44"/>
      <c r="E480" s="44"/>
      <c r="F480" s="44"/>
      <c r="G480" s="44"/>
      <c r="H480" s="44"/>
      <c r="I480" s="41"/>
      <c r="J480" s="36"/>
      <c r="K480" s="36"/>
      <c r="L480" s="36"/>
    </row>
    <row r="481">
      <c r="A481" s="114"/>
      <c r="B481" s="36"/>
      <c r="C481" s="44"/>
      <c r="D481" s="44"/>
      <c r="E481" s="44"/>
      <c r="F481" s="44"/>
      <c r="G481" s="44"/>
      <c r="H481" s="44"/>
      <c r="I481" s="41"/>
      <c r="J481" s="36"/>
      <c r="K481" s="36"/>
      <c r="L481" s="36"/>
    </row>
    <row r="482">
      <c r="A482" s="114"/>
      <c r="B482" s="36"/>
      <c r="C482" s="44"/>
      <c r="D482" s="44"/>
      <c r="E482" s="44"/>
      <c r="F482" s="44"/>
      <c r="G482" s="44"/>
      <c r="H482" s="44"/>
      <c r="I482" s="41"/>
      <c r="J482" s="36"/>
      <c r="K482" s="36"/>
      <c r="L482" s="36"/>
    </row>
    <row r="483">
      <c r="A483" s="114"/>
      <c r="B483" s="36"/>
      <c r="C483" s="44"/>
      <c r="D483" s="44"/>
      <c r="E483" s="44"/>
      <c r="F483" s="44"/>
      <c r="G483" s="44"/>
      <c r="H483" s="44"/>
      <c r="I483" s="41"/>
      <c r="J483" s="36"/>
      <c r="K483" s="36"/>
      <c r="L483" s="36"/>
    </row>
    <row r="484">
      <c r="A484" s="114"/>
      <c r="B484" s="36"/>
      <c r="C484" s="44"/>
      <c r="D484" s="44"/>
      <c r="E484" s="44"/>
      <c r="F484" s="44"/>
      <c r="G484" s="44"/>
      <c r="H484" s="44"/>
      <c r="I484" s="41"/>
      <c r="J484" s="36"/>
      <c r="K484" s="36"/>
      <c r="L484" s="36"/>
    </row>
    <row r="485">
      <c r="A485" s="114"/>
      <c r="B485" s="36"/>
      <c r="C485" s="44"/>
      <c r="D485" s="44"/>
      <c r="E485" s="44"/>
      <c r="F485" s="44"/>
      <c r="G485" s="44"/>
      <c r="H485" s="44"/>
      <c r="I485" s="41"/>
      <c r="J485" s="36"/>
      <c r="K485" s="36"/>
      <c r="L485" s="36"/>
    </row>
    <row r="486">
      <c r="A486" s="114"/>
      <c r="B486" s="36"/>
      <c r="C486" s="44"/>
      <c r="D486" s="44"/>
      <c r="E486" s="44"/>
      <c r="F486" s="44"/>
      <c r="G486" s="44"/>
      <c r="H486" s="44"/>
      <c r="I486" s="41"/>
      <c r="J486" s="36"/>
      <c r="K486" s="36"/>
      <c r="L486" s="36"/>
    </row>
    <row r="487">
      <c r="A487" s="114"/>
      <c r="B487" s="36"/>
      <c r="C487" s="44"/>
      <c r="D487" s="44"/>
      <c r="E487" s="44"/>
      <c r="F487" s="44"/>
      <c r="G487" s="44"/>
      <c r="H487" s="44"/>
      <c r="I487" s="41"/>
      <c r="J487" s="36"/>
      <c r="K487" s="36"/>
      <c r="L487" s="36"/>
    </row>
    <row r="488">
      <c r="A488" s="114"/>
      <c r="B488" s="36"/>
      <c r="C488" s="44"/>
      <c r="D488" s="44"/>
      <c r="E488" s="44"/>
      <c r="F488" s="44"/>
      <c r="G488" s="44"/>
      <c r="H488" s="44"/>
      <c r="I488" s="41"/>
      <c r="J488" s="36"/>
      <c r="K488" s="36"/>
      <c r="L488" s="36"/>
    </row>
    <row r="489">
      <c r="A489" s="114"/>
      <c r="B489" s="36"/>
      <c r="C489" s="44"/>
      <c r="D489" s="44"/>
      <c r="E489" s="44"/>
      <c r="F489" s="44"/>
      <c r="G489" s="44"/>
      <c r="H489" s="44"/>
      <c r="I489" s="41"/>
      <c r="J489" s="36"/>
      <c r="K489" s="36"/>
      <c r="L489" s="36"/>
    </row>
    <row r="490">
      <c r="A490" s="114"/>
      <c r="B490" s="36"/>
      <c r="C490" s="44"/>
      <c r="D490" s="44"/>
      <c r="E490" s="44"/>
      <c r="F490" s="44"/>
      <c r="G490" s="44"/>
      <c r="H490" s="44"/>
      <c r="I490" s="41"/>
      <c r="J490" s="36"/>
      <c r="K490" s="36"/>
      <c r="L490" s="36"/>
    </row>
    <row r="491">
      <c r="A491" s="114"/>
      <c r="B491" s="36"/>
      <c r="C491" s="44"/>
      <c r="D491" s="44"/>
      <c r="E491" s="44"/>
      <c r="F491" s="44"/>
      <c r="G491" s="44"/>
      <c r="H491" s="44"/>
      <c r="I491" s="41"/>
      <c r="J491" s="36"/>
      <c r="K491" s="36"/>
      <c r="L491" s="36"/>
    </row>
    <row r="492">
      <c r="A492" s="114"/>
      <c r="B492" s="36"/>
      <c r="C492" s="44"/>
      <c r="D492" s="44"/>
      <c r="E492" s="44"/>
      <c r="F492" s="44"/>
      <c r="G492" s="44"/>
      <c r="H492" s="44"/>
      <c r="I492" s="41"/>
      <c r="J492" s="36"/>
      <c r="K492" s="36"/>
      <c r="L492" s="36"/>
    </row>
    <row r="493">
      <c r="A493" s="114"/>
      <c r="B493" s="36"/>
      <c r="C493" s="44"/>
      <c r="D493" s="44"/>
      <c r="E493" s="44"/>
      <c r="F493" s="44"/>
      <c r="G493" s="44"/>
      <c r="H493" s="44"/>
      <c r="I493" s="41"/>
      <c r="J493" s="36"/>
      <c r="K493" s="36"/>
      <c r="L493" s="36"/>
    </row>
    <row r="494">
      <c r="A494" s="114"/>
      <c r="B494" s="36"/>
      <c r="C494" s="44"/>
      <c r="D494" s="44"/>
      <c r="E494" s="44"/>
      <c r="F494" s="44"/>
      <c r="G494" s="44"/>
      <c r="H494" s="44"/>
      <c r="I494" s="41"/>
      <c r="J494" s="36"/>
      <c r="K494" s="36"/>
      <c r="L494" s="36"/>
    </row>
    <row r="495">
      <c r="A495" s="114"/>
      <c r="B495" s="36"/>
      <c r="C495" s="44"/>
      <c r="D495" s="44"/>
      <c r="E495" s="44"/>
      <c r="F495" s="44"/>
      <c r="G495" s="44"/>
      <c r="H495" s="44"/>
      <c r="I495" s="41"/>
      <c r="J495" s="36"/>
      <c r="K495" s="36"/>
      <c r="L495" s="36"/>
    </row>
    <row r="496">
      <c r="A496" s="114"/>
      <c r="B496" s="36"/>
      <c r="C496" s="44"/>
      <c r="D496" s="44"/>
      <c r="E496" s="44"/>
      <c r="F496" s="44"/>
      <c r="G496" s="44"/>
      <c r="H496" s="44"/>
      <c r="I496" s="41"/>
      <c r="J496" s="36"/>
      <c r="K496" s="36"/>
      <c r="L496" s="36"/>
    </row>
    <row r="497">
      <c r="A497" s="114"/>
      <c r="B497" s="36"/>
      <c r="C497" s="44"/>
      <c r="D497" s="44"/>
      <c r="E497" s="44"/>
      <c r="F497" s="44"/>
      <c r="G497" s="44"/>
      <c r="H497" s="44"/>
      <c r="I497" s="41"/>
      <c r="J497" s="36"/>
      <c r="K497" s="36"/>
      <c r="L497" s="36"/>
    </row>
    <row r="498">
      <c r="A498" s="114"/>
      <c r="B498" s="36"/>
      <c r="C498" s="44"/>
      <c r="D498" s="44"/>
      <c r="E498" s="44"/>
      <c r="F498" s="44"/>
      <c r="G498" s="44"/>
      <c r="H498" s="44"/>
      <c r="I498" s="41"/>
      <c r="J498" s="36"/>
      <c r="K498" s="36"/>
      <c r="L498" s="36"/>
    </row>
    <row r="499">
      <c r="A499" s="114"/>
      <c r="B499" s="36"/>
      <c r="C499" s="44"/>
      <c r="D499" s="44"/>
      <c r="E499" s="44"/>
      <c r="F499" s="44"/>
      <c r="G499" s="44"/>
      <c r="H499" s="44"/>
      <c r="I499" s="41"/>
      <c r="J499" s="36"/>
      <c r="K499" s="36"/>
      <c r="L499" s="36"/>
    </row>
    <row r="500">
      <c r="A500" s="114"/>
      <c r="B500" s="36"/>
      <c r="C500" s="44"/>
      <c r="D500" s="44"/>
      <c r="E500" s="44"/>
      <c r="F500" s="44"/>
      <c r="G500" s="44"/>
      <c r="H500" s="44"/>
      <c r="I500" s="41"/>
      <c r="J500" s="36"/>
      <c r="K500" s="36"/>
      <c r="L500" s="36"/>
    </row>
    <row r="501">
      <c r="A501" s="114"/>
      <c r="B501" s="36"/>
      <c r="C501" s="44"/>
      <c r="D501" s="44"/>
      <c r="E501" s="44"/>
      <c r="F501" s="44"/>
      <c r="G501" s="44"/>
      <c r="H501" s="44"/>
      <c r="I501" s="41"/>
      <c r="J501" s="36"/>
      <c r="K501" s="36"/>
      <c r="L501" s="36"/>
    </row>
    <row r="502">
      <c r="A502" s="114"/>
      <c r="B502" s="36"/>
      <c r="C502" s="44"/>
      <c r="D502" s="44"/>
      <c r="E502" s="44"/>
      <c r="F502" s="44"/>
      <c r="G502" s="44"/>
      <c r="H502" s="44"/>
      <c r="I502" s="41"/>
      <c r="J502" s="36"/>
      <c r="K502" s="36"/>
      <c r="L502" s="36"/>
    </row>
    <row r="503">
      <c r="A503" s="114"/>
      <c r="B503" s="36"/>
      <c r="C503" s="44"/>
      <c r="D503" s="44"/>
      <c r="E503" s="44"/>
      <c r="F503" s="44"/>
      <c r="G503" s="44"/>
      <c r="H503" s="44"/>
      <c r="I503" s="41"/>
      <c r="J503" s="36"/>
      <c r="K503" s="36"/>
      <c r="L503" s="36"/>
    </row>
    <row r="504">
      <c r="A504" s="114"/>
      <c r="B504" s="36"/>
      <c r="C504" s="44"/>
      <c r="D504" s="44"/>
      <c r="E504" s="44"/>
      <c r="F504" s="44"/>
      <c r="G504" s="44"/>
      <c r="H504" s="44"/>
      <c r="I504" s="41"/>
      <c r="J504" s="36"/>
      <c r="K504" s="36"/>
      <c r="L504" s="36"/>
    </row>
    <row r="505">
      <c r="A505" s="114"/>
      <c r="B505" s="36"/>
      <c r="C505" s="44"/>
      <c r="D505" s="44"/>
      <c r="E505" s="44"/>
      <c r="F505" s="44"/>
      <c r="G505" s="44"/>
      <c r="H505" s="44"/>
      <c r="I505" s="41"/>
      <c r="J505" s="36"/>
      <c r="K505" s="36"/>
      <c r="L505" s="36"/>
    </row>
    <row r="506">
      <c r="A506" s="114"/>
      <c r="B506" s="36"/>
      <c r="C506" s="44"/>
      <c r="D506" s="44"/>
      <c r="E506" s="44"/>
      <c r="F506" s="44"/>
      <c r="G506" s="44"/>
      <c r="H506" s="44"/>
      <c r="I506" s="41"/>
      <c r="J506" s="36"/>
      <c r="K506" s="36"/>
      <c r="L506" s="36"/>
    </row>
    <row r="507">
      <c r="A507" s="114"/>
      <c r="B507" s="36"/>
      <c r="C507" s="44"/>
      <c r="D507" s="44"/>
      <c r="E507" s="44"/>
      <c r="F507" s="44"/>
      <c r="G507" s="44"/>
      <c r="H507" s="44"/>
      <c r="I507" s="41"/>
      <c r="J507" s="36"/>
      <c r="K507" s="36"/>
      <c r="L507" s="36"/>
    </row>
    <row r="508">
      <c r="A508" s="114"/>
      <c r="B508" s="36"/>
      <c r="C508" s="44"/>
      <c r="D508" s="44"/>
      <c r="E508" s="44"/>
      <c r="F508" s="44"/>
      <c r="G508" s="44"/>
      <c r="H508" s="44"/>
      <c r="I508" s="41"/>
      <c r="J508" s="36"/>
      <c r="K508" s="36"/>
      <c r="L508" s="36"/>
    </row>
    <row r="509">
      <c r="A509" s="114"/>
      <c r="B509" s="36"/>
      <c r="C509" s="44"/>
      <c r="D509" s="44"/>
      <c r="E509" s="44"/>
      <c r="F509" s="44"/>
      <c r="G509" s="44"/>
      <c r="H509" s="44"/>
      <c r="I509" s="41"/>
      <c r="J509" s="36"/>
      <c r="K509" s="36"/>
      <c r="L509" s="36"/>
    </row>
    <row r="510">
      <c r="A510" s="114"/>
      <c r="B510" s="36"/>
      <c r="C510" s="44"/>
      <c r="D510" s="44"/>
      <c r="E510" s="44"/>
      <c r="F510" s="44"/>
      <c r="G510" s="44"/>
      <c r="H510" s="44"/>
      <c r="I510" s="41"/>
      <c r="J510" s="36"/>
      <c r="K510" s="36"/>
      <c r="L510" s="36"/>
    </row>
    <row r="511">
      <c r="A511" s="114"/>
      <c r="B511" s="36"/>
      <c r="C511" s="44"/>
      <c r="D511" s="44"/>
      <c r="E511" s="44"/>
      <c r="F511" s="44"/>
      <c r="G511" s="44"/>
      <c r="H511" s="44"/>
      <c r="I511" s="41"/>
      <c r="J511" s="36"/>
      <c r="K511" s="36"/>
      <c r="L511" s="36"/>
    </row>
    <row r="512">
      <c r="A512" s="114"/>
      <c r="B512" s="36"/>
      <c r="C512" s="44"/>
      <c r="D512" s="44"/>
      <c r="E512" s="44"/>
      <c r="F512" s="44"/>
      <c r="G512" s="44"/>
      <c r="H512" s="44"/>
      <c r="I512" s="41"/>
      <c r="J512" s="36"/>
      <c r="K512" s="36"/>
      <c r="L512" s="36"/>
    </row>
    <row r="513">
      <c r="A513" s="114"/>
      <c r="B513" s="36"/>
      <c r="C513" s="44"/>
      <c r="D513" s="44"/>
      <c r="E513" s="44"/>
      <c r="F513" s="44"/>
      <c r="G513" s="44"/>
      <c r="H513" s="44"/>
      <c r="I513" s="41"/>
      <c r="J513" s="36"/>
      <c r="K513" s="36"/>
      <c r="L513" s="36"/>
    </row>
    <row r="514">
      <c r="A514" s="114"/>
      <c r="B514" s="36"/>
      <c r="C514" s="44"/>
      <c r="D514" s="44"/>
      <c r="E514" s="44"/>
      <c r="F514" s="44"/>
      <c r="G514" s="44"/>
      <c r="H514" s="44"/>
      <c r="I514" s="41"/>
      <c r="J514" s="36"/>
      <c r="K514" s="36"/>
      <c r="L514" s="36"/>
    </row>
    <row r="515">
      <c r="A515" s="114"/>
      <c r="B515" s="36"/>
      <c r="C515" s="44"/>
      <c r="D515" s="44"/>
      <c r="E515" s="44"/>
      <c r="F515" s="44"/>
      <c r="G515" s="44"/>
      <c r="H515" s="44"/>
      <c r="I515" s="41"/>
      <c r="J515" s="36"/>
      <c r="K515" s="36"/>
      <c r="L515" s="36"/>
    </row>
    <row r="516">
      <c r="A516" s="114"/>
      <c r="B516" s="36"/>
      <c r="C516" s="44"/>
      <c r="D516" s="44"/>
      <c r="E516" s="44"/>
      <c r="F516" s="44"/>
      <c r="G516" s="44"/>
      <c r="H516" s="44"/>
      <c r="I516" s="41"/>
      <c r="J516" s="36"/>
      <c r="K516" s="36"/>
      <c r="L516" s="36"/>
    </row>
    <row r="517">
      <c r="A517" s="114"/>
      <c r="B517" s="36"/>
      <c r="C517" s="44"/>
      <c r="D517" s="44"/>
      <c r="E517" s="44"/>
      <c r="F517" s="44"/>
      <c r="G517" s="44"/>
      <c r="H517" s="44"/>
      <c r="I517" s="41"/>
      <c r="J517" s="36"/>
      <c r="K517" s="36"/>
      <c r="L517" s="36"/>
    </row>
    <row r="518">
      <c r="A518" s="114"/>
      <c r="B518" s="36"/>
      <c r="C518" s="44"/>
      <c r="D518" s="44"/>
      <c r="E518" s="44"/>
      <c r="F518" s="44"/>
      <c r="G518" s="44"/>
      <c r="H518" s="44"/>
      <c r="I518" s="41"/>
      <c r="J518" s="36"/>
      <c r="K518" s="36"/>
      <c r="L518" s="36"/>
    </row>
    <row r="519">
      <c r="A519" s="114"/>
      <c r="B519" s="36"/>
      <c r="C519" s="44"/>
      <c r="D519" s="44"/>
      <c r="E519" s="44"/>
      <c r="F519" s="44"/>
      <c r="G519" s="44"/>
      <c r="H519" s="44"/>
      <c r="I519" s="41"/>
      <c r="J519" s="36"/>
      <c r="K519" s="36"/>
      <c r="L519" s="36"/>
    </row>
    <row r="520">
      <c r="A520" s="114"/>
      <c r="B520" s="36"/>
      <c r="C520" s="44"/>
      <c r="D520" s="44"/>
      <c r="E520" s="44"/>
      <c r="F520" s="44"/>
      <c r="G520" s="44"/>
      <c r="H520" s="44"/>
      <c r="I520" s="41"/>
      <c r="J520" s="36"/>
      <c r="K520" s="36"/>
      <c r="L520" s="36"/>
    </row>
    <row r="521">
      <c r="A521" s="114"/>
      <c r="B521" s="36"/>
      <c r="C521" s="44"/>
      <c r="D521" s="44"/>
      <c r="E521" s="44"/>
      <c r="F521" s="44"/>
      <c r="G521" s="44"/>
      <c r="H521" s="44"/>
      <c r="I521" s="41"/>
      <c r="J521" s="36"/>
      <c r="K521" s="36"/>
      <c r="L521" s="36"/>
    </row>
    <row r="522">
      <c r="A522" s="114"/>
      <c r="B522" s="36"/>
      <c r="C522" s="44"/>
      <c r="D522" s="44"/>
      <c r="E522" s="44"/>
      <c r="F522" s="44"/>
      <c r="G522" s="44"/>
      <c r="H522" s="44"/>
      <c r="I522" s="41"/>
      <c r="J522" s="36"/>
      <c r="K522" s="36"/>
      <c r="L522" s="36"/>
    </row>
    <row r="523">
      <c r="A523" s="114"/>
      <c r="B523" s="36"/>
      <c r="C523" s="44"/>
      <c r="D523" s="44"/>
      <c r="E523" s="44"/>
      <c r="F523" s="44"/>
      <c r="G523" s="44"/>
      <c r="H523" s="44"/>
      <c r="I523" s="41"/>
      <c r="J523" s="36"/>
      <c r="K523" s="36"/>
      <c r="L523" s="36"/>
    </row>
    <row r="524">
      <c r="A524" s="114"/>
      <c r="B524" s="36"/>
      <c r="C524" s="44"/>
      <c r="D524" s="44"/>
      <c r="E524" s="44"/>
      <c r="F524" s="44"/>
      <c r="G524" s="44"/>
      <c r="H524" s="44"/>
      <c r="I524" s="41"/>
      <c r="J524" s="36"/>
      <c r="K524" s="36"/>
      <c r="L524" s="36"/>
    </row>
    <row r="525">
      <c r="A525" s="114"/>
      <c r="B525" s="36"/>
      <c r="C525" s="44"/>
      <c r="D525" s="44"/>
      <c r="E525" s="44"/>
      <c r="F525" s="44"/>
      <c r="G525" s="44"/>
      <c r="H525" s="44"/>
      <c r="I525" s="41"/>
      <c r="J525" s="36"/>
      <c r="K525" s="36"/>
      <c r="L525" s="36"/>
    </row>
    <row r="526">
      <c r="A526" s="114"/>
      <c r="B526" s="36"/>
      <c r="C526" s="44"/>
      <c r="D526" s="44"/>
      <c r="E526" s="44"/>
      <c r="F526" s="44"/>
      <c r="G526" s="44"/>
      <c r="H526" s="44"/>
      <c r="I526" s="41"/>
      <c r="J526" s="36"/>
      <c r="K526" s="36"/>
      <c r="L526" s="36"/>
    </row>
    <row r="527">
      <c r="A527" s="114"/>
      <c r="B527" s="36"/>
      <c r="C527" s="44"/>
      <c r="D527" s="44"/>
      <c r="E527" s="44"/>
      <c r="F527" s="44"/>
      <c r="G527" s="44"/>
      <c r="H527" s="44"/>
      <c r="I527" s="41"/>
      <c r="J527" s="36"/>
      <c r="K527" s="36"/>
      <c r="L527" s="36"/>
    </row>
    <row r="528">
      <c r="A528" s="115"/>
    </row>
    <row r="529">
      <c r="A529" s="115"/>
    </row>
    <row r="530">
      <c r="A530" s="115"/>
    </row>
    <row r="531">
      <c r="A531" s="115"/>
    </row>
    <row r="532">
      <c r="A532" s="115"/>
    </row>
    <row r="533">
      <c r="A533" s="115"/>
    </row>
    <row r="534">
      <c r="A534" s="115"/>
    </row>
    <row r="535">
      <c r="A535" s="115"/>
    </row>
    <row r="536">
      <c r="A536" s="115"/>
    </row>
    <row r="537">
      <c r="A537" s="115"/>
    </row>
    <row r="538">
      <c r="A538" s="115"/>
    </row>
    <row r="539">
      <c r="A539" s="115"/>
    </row>
    <row r="540">
      <c r="A540" s="115"/>
    </row>
    <row r="541">
      <c r="A541" s="115"/>
    </row>
    <row r="542">
      <c r="A542" s="115"/>
    </row>
    <row r="543">
      <c r="A543" s="115"/>
    </row>
    <row r="544">
      <c r="A544" s="115"/>
    </row>
    <row r="545">
      <c r="A545" s="115"/>
    </row>
    <row r="546">
      <c r="A546" s="115"/>
    </row>
    <row r="547">
      <c r="A547" s="115"/>
    </row>
    <row r="548">
      <c r="A548" s="115"/>
    </row>
    <row r="549">
      <c r="A549" s="115"/>
    </row>
    <row r="550">
      <c r="A550" s="115"/>
    </row>
    <row r="551">
      <c r="A551" s="115"/>
    </row>
    <row r="552">
      <c r="A552" s="115"/>
    </row>
    <row r="553">
      <c r="A553" s="115"/>
    </row>
    <row r="554">
      <c r="A554" s="115"/>
    </row>
    <row r="555">
      <c r="A555" s="115"/>
    </row>
    <row r="556">
      <c r="A556" s="115"/>
    </row>
    <row r="557">
      <c r="A557" s="115"/>
    </row>
    <row r="558">
      <c r="A558" s="115"/>
    </row>
    <row r="559">
      <c r="A559" s="115"/>
    </row>
    <row r="560">
      <c r="A560" s="115"/>
    </row>
    <row r="561">
      <c r="A561" s="115"/>
    </row>
    <row r="562">
      <c r="A562" s="115"/>
    </row>
    <row r="563">
      <c r="A563" s="115"/>
    </row>
    <row r="564">
      <c r="A564" s="115"/>
    </row>
    <row r="565">
      <c r="A565" s="115"/>
    </row>
    <row r="566">
      <c r="A566" s="115"/>
    </row>
    <row r="567">
      <c r="A567" s="115"/>
    </row>
    <row r="568">
      <c r="A568" s="115"/>
    </row>
    <row r="569">
      <c r="A569" s="115"/>
    </row>
    <row r="570">
      <c r="A570" s="115"/>
    </row>
    <row r="571">
      <c r="A571" s="115"/>
    </row>
    <row r="572">
      <c r="A572" s="115"/>
    </row>
    <row r="573">
      <c r="A573" s="115"/>
    </row>
    <row r="574">
      <c r="A574" s="115"/>
    </row>
    <row r="575">
      <c r="A575" s="115"/>
    </row>
    <row r="576">
      <c r="A576" s="115"/>
    </row>
    <row r="577">
      <c r="A577" s="115"/>
    </row>
    <row r="578">
      <c r="A578" s="115"/>
    </row>
    <row r="579">
      <c r="A579" s="115"/>
    </row>
    <row r="580">
      <c r="A580" s="115"/>
    </row>
    <row r="581">
      <c r="A581" s="115"/>
    </row>
    <row r="582">
      <c r="A582" s="115"/>
    </row>
    <row r="583">
      <c r="A583" s="115"/>
    </row>
    <row r="584">
      <c r="A584" s="115"/>
    </row>
    <row r="585">
      <c r="A585" s="115"/>
    </row>
    <row r="586">
      <c r="A586" s="115"/>
    </row>
    <row r="587">
      <c r="A587" s="115"/>
    </row>
    <row r="588">
      <c r="A588" s="115"/>
    </row>
    <row r="589">
      <c r="A589" s="115"/>
    </row>
    <row r="590">
      <c r="A590" s="115"/>
    </row>
    <row r="591">
      <c r="A591" s="115"/>
    </row>
    <row r="592">
      <c r="A592" s="115"/>
    </row>
    <row r="593">
      <c r="A593" s="115"/>
    </row>
    <row r="594">
      <c r="A594" s="115"/>
    </row>
    <row r="595">
      <c r="A595" s="115"/>
    </row>
    <row r="596">
      <c r="A596" s="115"/>
    </row>
    <row r="597">
      <c r="A597" s="115"/>
    </row>
    <row r="598">
      <c r="A598" s="115"/>
    </row>
    <row r="599">
      <c r="A599" s="115"/>
    </row>
    <row r="600">
      <c r="A600" s="115"/>
    </row>
    <row r="601">
      <c r="A601" s="115"/>
    </row>
    <row r="602">
      <c r="A602" s="115"/>
    </row>
    <row r="603">
      <c r="A603" s="115"/>
    </row>
    <row r="604">
      <c r="A604" s="115"/>
    </row>
    <row r="605">
      <c r="A605" s="115"/>
    </row>
    <row r="606">
      <c r="A606" s="115"/>
    </row>
    <row r="607">
      <c r="A607" s="115"/>
    </row>
    <row r="608">
      <c r="A608" s="115"/>
    </row>
    <row r="609">
      <c r="A609" s="115"/>
    </row>
    <row r="610">
      <c r="A610" s="115"/>
    </row>
    <row r="611">
      <c r="A611" s="115"/>
    </row>
    <row r="612">
      <c r="A612" s="115"/>
    </row>
    <row r="613">
      <c r="A613" s="115"/>
    </row>
    <row r="614">
      <c r="A614" s="115"/>
    </row>
    <row r="615">
      <c r="A615" s="115"/>
    </row>
    <row r="616">
      <c r="A616" s="115"/>
    </row>
    <row r="617">
      <c r="A617" s="115"/>
    </row>
    <row r="618">
      <c r="A618" s="115"/>
    </row>
    <row r="619">
      <c r="A619" s="115"/>
    </row>
    <row r="620">
      <c r="A620" s="115"/>
    </row>
    <row r="621">
      <c r="A621" s="115"/>
    </row>
    <row r="622">
      <c r="A622" s="115"/>
    </row>
    <row r="623">
      <c r="A623" s="115"/>
    </row>
    <row r="624">
      <c r="A624" s="115"/>
    </row>
    <row r="625">
      <c r="A625" s="115"/>
    </row>
    <row r="626">
      <c r="A626" s="115"/>
    </row>
    <row r="627">
      <c r="A627" s="115"/>
    </row>
    <row r="628">
      <c r="A628" s="115"/>
    </row>
    <row r="629">
      <c r="A629" s="115"/>
    </row>
    <row r="630">
      <c r="A630" s="115"/>
    </row>
    <row r="631">
      <c r="A631" s="115"/>
    </row>
    <row r="632">
      <c r="A632" s="115"/>
    </row>
    <row r="633">
      <c r="A633" s="115"/>
    </row>
    <row r="634">
      <c r="A634" s="115"/>
    </row>
    <row r="635">
      <c r="A635" s="115"/>
    </row>
    <row r="636">
      <c r="A636" s="115"/>
    </row>
    <row r="637">
      <c r="A637" s="115"/>
    </row>
    <row r="638">
      <c r="A638" s="115"/>
    </row>
    <row r="639">
      <c r="A639" s="115"/>
    </row>
    <row r="640">
      <c r="A640" s="115"/>
    </row>
    <row r="641">
      <c r="A641" s="115"/>
    </row>
    <row r="642">
      <c r="A642" s="115"/>
    </row>
    <row r="643">
      <c r="A643" s="115"/>
    </row>
    <row r="644">
      <c r="A644" s="115"/>
    </row>
    <row r="645">
      <c r="A645" s="115"/>
    </row>
    <row r="646">
      <c r="A646" s="115"/>
    </row>
    <row r="647">
      <c r="A647" s="115"/>
    </row>
    <row r="648">
      <c r="A648" s="115"/>
    </row>
    <row r="649">
      <c r="A649" s="115"/>
    </row>
    <row r="650">
      <c r="A650" s="115"/>
    </row>
    <row r="651">
      <c r="A651" s="115"/>
    </row>
    <row r="652">
      <c r="A652" s="115"/>
    </row>
    <row r="653">
      <c r="A653" s="115"/>
    </row>
    <row r="654">
      <c r="A654" s="115"/>
    </row>
    <row r="655">
      <c r="A655" s="115"/>
    </row>
    <row r="656">
      <c r="A656" s="115"/>
    </row>
    <row r="657">
      <c r="A657" s="115"/>
    </row>
    <row r="658">
      <c r="A658" s="115"/>
    </row>
    <row r="659">
      <c r="A659" s="115"/>
    </row>
    <row r="660">
      <c r="A660" s="115"/>
    </row>
    <row r="661">
      <c r="A661" s="115"/>
    </row>
    <row r="662">
      <c r="A662" s="115"/>
    </row>
    <row r="663">
      <c r="A663" s="115"/>
    </row>
    <row r="664">
      <c r="A664" s="115"/>
    </row>
    <row r="665">
      <c r="A665" s="115"/>
    </row>
    <row r="666">
      <c r="A666" s="115"/>
    </row>
    <row r="667">
      <c r="A667" s="115"/>
    </row>
    <row r="668">
      <c r="A668" s="115"/>
    </row>
    <row r="669">
      <c r="A669" s="115"/>
    </row>
    <row r="670">
      <c r="A670" s="115"/>
    </row>
    <row r="671">
      <c r="A671" s="115"/>
    </row>
    <row r="672">
      <c r="A672" s="115"/>
    </row>
    <row r="673">
      <c r="A673" s="115"/>
    </row>
    <row r="674">
      <c r="A674" s="115"/>
    </row>
    <row r="675">
      <c r="A675" s="115"/>
    </row>
    <row r="676">
      <c r="A676" s="115"/>
    </row>
    <row r="677">
      <c r="A677" s="115"/>
    </row>
    <row r="678">
      <c r="A678" s="115"/>
    </row>
    <row r="679">
      <c r="A679" s="115"/>
    </row>
    <row r="680">
      <c r="A680" s="115"/>
    </row>
    <row r="681">
      <c r="A681" s="115"/>
    </row>
    <row r="682">
      <c r="A682" s="115"/>
    </row>
    <row r="683">
      <c r="A683" s="115"/>
    </row>
    <row r="684">
      <c r="A684" s="115"/>
    </row>
    <row r="685">
      <c r="A685" s="115"/>
    </row>
    <row r="686">
      <c r="A686" s="115"/>
    </row>
    <row r="687">
      <c r="A687" s="115"/>
    </row>
    <row r="688">
      <c r="A688" s="115"/>
    </row>
    <row r="689">
      <c r="A689" s="115"/>
    </row>
    <row r="690">
      <c r="A690" s="115"/>
    </row>
    <row r="691">
      <c r="A691" s="115"/>
    </row>
    <row r="692">
      <c r="A692" s="115"/>
    </row>
    <row r="693">
      <c r="A693" s="115"/>
    </row>
    <row r="694">
      <c r="A694" s="115"/>
    </row>
    <row r="695">
      <c r="A695" s="115"/>
    </row>
    <row r="696">
      <c r="A696" s="115"/>
    </row>
    <row r="697">
      <c r="A697" s="115"/>
    </row>
    <row r="698">
      <c r="A698" s="115"/>
    </row>
    <row r="699">
      <c r="A699" s="115"/>
    </row>
    <row r="700">
      <c r="A700" s="115"/>
    </row>
    <row r="701">
      <c r="A701" s="115"/>
    </row>
    <row r="702">
      <c r="A702" s="115"/>
    </row>
    <row r="703">
      <c r="A703" s="115"/>
    </row>
    <row r="704">
      <c r="A704" s="115"/>
    </row>
    <row r="705">
      <c r="A705" s="115"/>
    </row>
    <row r="706">
      <c r="A706" s="115"/>
    </row>
    <row r="707">
      <c r="A707" s="115"/>
    </row>
    <row r="708">
      <c r="A708" s="115"/>
    </row>
    <row r="709">
      <c r="A709" s="115"/>
    </row>
    <row r="710">
      <c r="A710" s="115"/>
    </row>
    <row r="711">
      <c r="A711" s="115"/>
    </row>
    <row r="712">
      <c r="A712" s="115"/>
    </row>
    <row r="713">
      <c r="A713" s="115"/>
    </row>
    <row r="714">
      <c r="A714" s="115"/>
    </row>
    <row r="715">
      <c r="A715" s="115"/>
    </row>
    <row r="716">
      <c r="A716" s="115"/>
    </row>
    <row r="717">
      <c r="A717" s="115"/>
    </row>
    <row r="718">
      <c r="A718" s="115"/>
    </row>
    <row r="719">
      <c r="A719" s="115"/>
    </row>
    <row r="720">
      <c r="A720" s="115"/>
    </row>
    <row r="721">
      <c r="A721" s="115"/>
    </row>
    <row r="722">
      <c r="A722" s="115"/>
    </row>
    <row r="723">
      <c r="A723" s="115"/>
    </row>
    <row r="724">
      <c r="A724" s="115"/>
    </row>
    <row r="725">
      <c r="A725" s="115"/>
    </row>
    <row r="726">
      <c r="A726" s="115"/>
    </row>
    <row r="727">
      <c r="A727" s="115"/>
    </row>
    <row r="728">
      <c r="A728" s="115"/>
    </row>
    <row r="729">
      <c r="A729" s="115"/>
    </row>
    <row r="730">
      <c r="A730" s="115"/>
    </row>
    <row r="731">
      <c r="A731" s="115"/>
    </row>
    <row r="732">
      <c r="A732" s="115"/>
    </row>
    <row r="733">
      <c r="A733" s="115"/>
    </row>
    <row r="734">
      <c r="A734" s="115"/>
    </row>
    <row r="735">
      <c r="A735" s="115"/>
    </row>
    <row r="736">
      <c r="A736" s="115"/>
    </row>
    <row r="737">
      <c r="A737" s="115"/>
    </row>
    <row r="738">
      <c r="A738" s="115"/>
    </row>
    <row r="739">
      <c r="A739" s="115"/>
    </row>
    <row r="740">
      <c r="A740" s="115"/>
    </row>
    <row r="741">
      <c r="A741" s="115"/>
    </row>
    <row r="742">
      <c r="A742" s="115"/>
    </row>
    <row r="743">
      <c r="A743" s="115"/>
    </row>
    <row r="744">
      <c r="A744" s="115"/>
    </row>
    <row r="745">
      <c r="A745" s="115"/>
    </row>
    <row r="746">
      <c r="A746" s="115"/>
    </row>
    <row r="747">
      <c r="A747" s="115"/>
    </row>
    <row r="748">
      <c r="A748" s="115"/>
    </row>
    <row r="749">
      <c r="A749" s="115"/>
    </row>
    <row r="750">
      <c r="A750" s="115"/>
    </row>
    <row r="751">
      <c r="A751" s="115"/>
    </row>
    <row r="752">
      <c r="A752" s="115"/>
    </row>
    <row r="753">
      <c r="A753" s="115"/>
    </row>
    <row r="754">
      <c r="A754" s="115"/>
    </row>
    <row r="755">
      <c r="A755" s="115"/>
    </row>
    <row r="756">
      <c r="A756" s="115"/>
    </row>
    <row r="757">
      <c r="A757" s="115"/>
    </row>
    <row r="758">
      <c r="A758" s="115"/>
    </row>
    <row r="759">
      <c r="A759" s="115"/>
    </row>
    <row r="760">
      <c r="A760" s="115"/>
    </row>
    <row r="761">
      <c r="A761" s="115"/>
    </row>
    <row r="762">
      <c r="A762" s="115"/>
    </row>
    <row r="763">
      <c r="A763" s="115"/>
    </row>
    <row r="764">
      <c r="A764" s="115"/>
    </row>
    <row r="765">
      <c r="A765" s="115"/>
    </row>
    <row r="766">
      <c r="A766" s="115"/>
    </row>
    <row r="767">
      <c r="A767" s="115"/>
    </row>
    <row r="768">
      <c r="A768" s="115"/>
    </row>
    <row r="769">
      <c r="A769" s="115"/>
    </row>
    <row r="770">
      <c r="A770" s="115"/>
    </row>
    <row r="771">
      <c r="A771" s="115"/>
    </row>
    <row r="772">
      <c r="A772" s="115"/>
    </row>
    <row r="773">
      <c r="A773" s="115"/>
    </row>
    <row r="774">
      <c r="A774" s="115"/>
    </row>
    <row r="775">
      <c r="A775" s="115"/>
    </row>
    <row r="776">
      <c r="A776" s="115"/>
    </row>
    <row r="777">
      <c r="A777" s="115"/>
    </row>
    <row r="778">
      <c r="A778" s="115"/>
    </row>
    <row r="779">
      <c r="A779" s="115"/>
    </row>
    <row r="780">
      <c r="A780" s="115"/>
    </row>
    <row r="781">
      <c r="A781" s="115"/>
    </row>
    <row r="782">
      <c r="A782" s="115"/>
    </row>
    <row r="783">
      <c r="A783" s="115"/>
    </row>
    <row r="784">
      <c r="A784" s="115"/>
    </row>
    <row r="785">
      <c r="A785" s="115"/>
    </row>
    <row r="786">
      <c r="A786" s="115"/>
    </row>
    <row r="787">
      <c r="A787" s="115"/>
    </row>
    <row r="788">
      <c r="A788" s="115"/>
    </row>
    <row r="789">
      <c r="A789" s="115"/>
    </row>
    <row r="790">
      <c r="A790" s="115"/>
    </row>
    <row r="791">
      <c r="A791" s="115"/>
    </row>
    <row r="792">
      <c r="A792" s="115"/>
    </row>
    <row r="793">
      <c r="A793" s="115"/>
    </row>
    <row r="794">
      <c r="A794" s="115"/>
    </row>
    <row r="795">
      <c r="A795" s="115"/>
    </row>
    <row r="796">
      <c r="A796" s="115"/>
    </row>
    <row r="797">
      <c r="A797" s="115"/>
    </row>
    <row r="798">
      <c r="A798" s="115"/>
    </row>
    <row r="799">
      <c r="A799" s="115"/>
    </row>
    <row r="800">
      <c r="A800" s="115"/>
    </row>
    <row r="801">
      <c r="A801" s="115"/>
    </row>
    <row r="802">
      <c r="A802" s="115"/>
    </row>
    <row r="803">
      <c r="A803" s="115"/>
    </row>
    <row r="804">
      <c r="A804" s="115"/>
    </row>
    <row r="805">
      <c r="A805" s="115"/>
    </row>
    <row r="806">
      <c r="A806" s="115"/>
    </row>
    <row r="807">
      <c r="A807" s="115"/>
    </row>
    <row r="808">
      <c r="A808" s="115"/>
    </row>
    <row r="809">
      <c r="A809" s="115"/>
    </row>
    <row r="810">
      <c r="A810" s="115"/>
    </row>
    <row r="811">
      <c r="A811" s="115"/>
    </row>
    <row r="812">
      <c r="A812" s="115"/>
    </row>
    <row r="813">
      <c r="A813" s="115"/>
    </row>
    <row r="814">
      <c r="A814" s="115"/>
    </row>
    <row r="815">
      <c r="A815" s="115"/>
    </row>
    <row r="816">
      <c r="A816" s="115"/>
    </row>
    <row r="817">
      <c r="A817" s="115"/>
    </row>
    <row r="818">
      <c r="A818" s="115"/>
    </row>
    <row r="819">
      <c r="A819" s="115"/>
    </row>
    <row r="820">
      <c r="A820" s="115"/>
    </row>
    <row r="821">
      <c r="A821" s="115"/>
    </row>
    <row r="822">
      <c r="A822" s="115"/>
    </row>
    <row r="823">
      <c r="A823" s="115"/>
    </row>
    <row r="824">
      <c r="A824" s="115"/>
    </row>
    <row r="825">
      <c r="A825" s="115"/>
    </row>
    <row r="826">
      <c r="A826" s="115"/>
    </row>
    <row r="827">
      <c r="A827" s="115"/>
    </row>
    <row r="828">
      <c r="A828" s="115"/>
    </row>
    <row r="829">
      <c r="A829" s="115"/>
    </row>
    <row r="830">
      <c r="A830" s="115"/>
    </row>
    <row r="831">
      <c r="A831" s="115"/>
    </row>
    <row r="832">
      <c r="A832" s="115"/>
    </row>
    <row r="833">
      <c r="A833" s="115"/>
    </row>
    <row r="834">
      <c r="A834" s="115"/>
    </row>
    <row r="835">
      <c r="A835" s="115"/>
    </row>
    <row r="836">
      <c r="A836" s="115"/>
    </row>
    <row r="837">
      <c r="A837" s="115"/>
    </row>
    <row r="838">
      <c r="A838" s="115"/>
    </row>
    <row r="839">
      <c r="A839" s="115"/>
    </row>
    <row r="840">
      <c r="A840" s="115"/>
    </row>
    <row r="841">
      <c r="A841" s="115"/>
    </row>
    <row r="842">
      <c r="A842" s="115"/>
    </row>
    <row r="843">
      <c r="A843" s="115"/>
    </row>
    <row r="844">
      <c r="A844" s="115"/>
    </row>
    <row r="845">
      <c r="A845" s="115"/>
    </row>
    <row r="846">
      <c r="A846" s="115"/>
    </row>
    <row r="847">
      <c r="A847" s="115"/>
    </row>
    <row r="848">
      <c r="A848" s="115"/>
    </row>
    <row r="849">
      <c r="A849" s="115"/>
    </row>
    <row r="850">
      <c r="A850" s="115"/>
    </row>
    <row r="851">
      <c r="A851" s="115"/>
    </row>
    <row r="852">
      <c r="A852" s="115"/>
    </row>
    <row r="853">
      <c r="A853" s="115"/>
    </row>
    <row r="854">
      <c r="A854" s="115"/>
    </row>
    <row r="855">
      <c r="A855" s="115"/>
    </row>
    <row r="856">
      <c r="A856" s="115"/>
    </row>
    <row r="857">
      <c r="A857" s="115"/>
    </row>
    <row r="858">
      <c r="A858" s="115"/>
    </row>
    <row r="859">
      <c r="A859" s="115"/>
    </row>
    <row r="860">
      <c r="A860" s="115"/>
    </row>
    <row r="861">
      <c r="A861" s="115"/>
    </row>
    <row r="862">
      <c r="A862" s="115"/>
    </row>
    <row r="863">
      <c r="A863" s="115"/>
    </row>
    <row r="864">
      <c r="A864" s="115"/>
    </row>
    <row r="865">
      <c r="A865" s="115"/>
    </row>
    <row r="866">
      <c r="A866" s="115"/>
    </row>
    <row r="867">
      <c r="A867" s="115"/>
    </row>
    <row r="868">
      <c r="A868" s="115"/>
    </row>
    <row r="869">
      <c r="A869" s="115"/>
    </row>
    <row r="870">
      <c r="A870" s="115"/>
    </row>
    <row r="871">
      <c r="A871" s="115"/>
    </row>
    <row r="872">
      <c r="A872" s="115"/>
    </row>
    <row r="873">
      <c r="A873" s="115"/>
    </row>
    <row r="874">
      <c r="A874" s="115"/>
    </row>
    <row r="875">
      <c r="A875" s="115"/>
    </row>
    <row r="876">
      <c r="A876" s="115"/>
    </row>
    <row r="877">
      <c r="A877" s="115"/>
    </row>
    <row r="878">
      <c r="A878" s="115"/>
    </row>
    <row r="879">
      <c r="A879" s="115"/>
    </row>
    <row r="880">
      <c r="A880" s="115"/>
    </row>
    <row r="881">
      <c r="A881" s="115"/>
    </row>
    <row r="882">
      <c r="A882" s="115"/>
    </row>
    <row r="883">
      <c r="A883" s="115"/>
    </row>
    <row r="884">
      <c r="A884" s="115"/>
    </row>
    <row r="885">
      <c r="A885" s="115"/>
    </row>
    <row r="886">
      <c r="A886" s="115"/>
    </row>
    <row r="887">
      <c r="A887" s="115"/>
    </row>
    <row r="888">
      <c r="A888" s="115"/>
    </row>
    <row r="889">
      <c r="A889" s="115"/>
    </row>
    <row r="890">
      <c r="A890" s="115"/>
    </row>
    <row r="891">
      <c r="A891" s="115"/>
    </row>
    <row r="892">
      <c r="A892" s="115"/>
    </row>
    <row r="893">
      <c r="A893" s="115"/>
    </row>
    <row r="894">
      <c r="A894" s="115"/>
    </row>
    <row r="895">
      <c r="A895" s="115"/>
    </row>
    <row r="896">
      <c r="A896" s="115"/>
    </row>
    <row r="897">
      <c r="A897" s="115"/>
    </row>
    <row r="898">
      <c r="A898" s="115"/>
    </row>
    <row r="899">
      <c r="A899" s="115"/>
    </row>
    <row r="900">
      <c r="A900" s="115"/>
    </row>
    <row r="901">
      <c r="A901" s="115"/>
    </row>
    <row r="902">
      <c r="A902" s="115"/>
    </row>
    <row r="903">
      <c r="A903" s="115"/>
    </row>
    <row r="904">
      <c r="A904" s="115"/>
    </row>
    <row r="905">
      <c r="A905" s="115"/>
    </row>
    <row r="906">
      <c r="A906" s="115"/>
    </row>
    <row r="907">
      <c r="A907" s="115"/>
    </row>
    <row r="908">
      <c r="A908" s="115"/>
    </row>
    <row r="909">
      <c r="A909" s="115"/>
    </row>
    <row r="910">
      <c r="A910" s="115"/>
    </row>
    <row r="911">
      <c r="A911" s="115"/>
    </row>
    <row r="912">
      <c r="A912" s="115"/>
    </row>
    <row r="913">
      <c r="A913" s="115"/>
    </row>
    <row r="914">
      <c r="A914" s="115"/>
    </row>
    <row r="915">
      <c r="A915" s="115"/>
    </row>
    <row r="916">
      <c r="A916" s="115"/>
    </row>
    <row r="917">
      <c r="A917" s="115"/>
    </row>
    <row r="918">
      <c r="A918" s="115"/>
    </row>
    <row r="919">
      <c r="A919" s="115"/>
    </row>
    <row r="920">
      <c r="A920" s="115"/>
    </row>
    <row r="921">
      <c r="A921" s="115"/>
    </row>
    <row r="922">
      <c r="A922" s="115"/>
    </row>
    <row r="923">
      <c r="A923" s="115"/>
    </row>
    <row r="924">
      <c r="A924" s="115"/>
    </row>
    <row r="925">
      <c r="A925" s="115"/>
    </row>
    <row r="926">
      <c r="A926" s="115"/>
    </row>
    <row r="927">
      <c r="A927" s="115"/>
    </row>
    <row r="928">
      <c r="A928" s="115"/>
    </row>
    <row r="929">
      <c r="A929" s="115"/>
    </row>
    <row r="930">
      <c r="A930" s="115"/>
    </row>
    <row r="931">
      <c r="A931" s="115"/>
    </row>
    <row r="932">
      <c r="A932" s="115"/>
    </row>
    <row r="933">
      <c r="A933" s="115"/>
    </row>
    <row r="934">
      <c r="A934" s="115"/>
    </row>
    <row r="935">
      <c r="A935" s="115"/>
    </row>
    <row r="936">
      <c r="A936" s="115"/>
    </row>
    <row r="937">
      <c r="A937" s="115"/>
    </row>
    <row r="938">
      <c r="A938" s="115"/>
    </row>
    <row r="939">
      <c r="A939" s="115"/>
    </row>
    <row r="940">
      <c r="A940" s="115"/>
    </row>
    <row r="941">
      <c r="A941" s="115"/>
    </row>
    <row r="942">
      <c r="A942" s="115"/>
    </row>
    <row r="943">
      <c r="A943" s="115"/>
    </row>
    <row r="944">
      <c r="A944" s="115"/>
    </row>
    <row r="945">
      <c r="A945" s="115"/>
    </row>
    <row r="946">
      <c r="A946" s="115"/>
    </row>
    <row r="947">
      <c r="A947" s="115"/>
    </row>
    <row r="948">
      <c r="A948" s="115"/>
    </row>
    <row r="949">
      <c r="A949" s="115"/>
    </row>
    <row r="950">
      <c r="A950" s="115"/>
    </row>
    <row r="951">
      <c r="A951" s="115"/>
    </row>
    <row r="952">
      <c r="A952" s="115"/>
    </row>
    <row r="953">
      <c r="A953" s="115"/>
    </row>
    <row r="954">
      <c r="A954" s="115"/>
    </row>
    <row r="955">
      <c r="A955" s="115"/>
    </row>
    <row r="956">
      <c r="A956" s="115"/>
    </row>
    <row r="957">
      <c r="A957" s="115"/>
    </row>
    <row r="958">
      <c r="A958" s="115"/>
    </row>
    <row r="959">
      <c r="A959" s="115"/>
    </row>
    <row r="960">
      <c r="A960" s="115"/>
    </row>
    <row r="961">
      <c r="A961" s="115"/>
    </row>
    <row r="962">
      <c r="A962" s="115"/>
    </row>
    <row r="963">
      <c r="A963" s="115"/>
    </row>
    <row r="964">
      <c r="A964" s="115"/>
    </row>
    <row r="965">
      <c r="A965" s="115"/>
    </row>
    <row r="966">
      <c r="A966" s="115"/>
    </row>
    <row r="967">
      <c r="A967" s="115"/>
    </row>
    <row r="968">
      <c r="A968" s="115"/>
    </row>
    <row r="969">
      <c r="A969" s="115"/>
    </row>
    <row r="970">
      <c r="A970" s="115"/>
    </row>
    <row r="971">
      <c r="A971" s="115"/>
    </row>
    <row r="972">
      <c r="A972" s="115"/>
    </row>
    <row r="973">
      <c r="A973" s="115"/>
    </row>
    <row r="974">
      <c r="A974" s="115"/>
    </row>
    <row r="975">
      <c r="A975" s="115"/>
    </row>
    <row r="976">
      <c r="A976" s="115"/>
    </row>
    <row r="977">
      <c r="A977" s="115"/>
    </row>
    <row r="978">
      <c r="A978" s="115"/>
    </row>
    <row r="979">
      <c r="A979" s="115"/>
    </row>
    <row r="980">
      <c r="A980" s="115"/>
    </row>
    <row r="981">
      <c r="A981" s="115"/>
    </row>
    <row r="982">
      <c r="A982" s="115"/>
    </row>
    <row r="983">
      <c r="A983" s="115"/>
    </row>
    <row r="984">
      <c r="A984" s="115"/>
    </row>
    <row r="985">
      <c r="A985" s="115"/>
    </row>
    <row r="986">
      <c r="A986" s="115"/>
    </row>
    <row r="987">
      <c r="A987" s="115"/>
    </row>
    <row r="988">
      <c r="A988" s="115"/>
    </row>
    <row r="989">
      <c r="A989" s="115"/>
    </row>
    <row r="990">
      <c r="A990" s="115"/>
    </row>
    <row r="991">
      <c r="A991" s="115"/>
    </row>
    <row r="992">
      <c r="A992" s="115"/>
    </row>
    <row r="993">
      <c r="A993" s="115"/>
    </row>
    <row r="994">
      <c r="A994" s="115"/>
    </row>
    <row r="995">
      <c r="A995" s="115"/>
    </row>
    <row r="996">
      <c r="A996" s="115"/>
    </row>
    <row r="997">
      <c r="A997" s="115"/>
    </row>
    <row r="998">
      <c r="A998" s="115"/>
    </row>
    <row r="999">
      <c r="A999" s="115"/>
    </row>
    <row r="1000">
      <c r="A1000" s="115"/>
    </row>
    <row r="1001">
      <c r="A1001" s="115"/>
    </row>
    <row r="1002">
      <c r="A1002" s="115"/>
    </row>
    <row r="1003">
      <c r="A1003" s="115"/>
    </row>
    <row r="1004">
      <c r="A1004" s="115"/>
    </row>
    <row r="1005">
      <c r="A1005" s="1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5.5"/>
  </cols>
  <sheetData>
    <row r="1">
      <c r="A1" s="34" t="s">
        <v>245</v>
      </c>
      <c r="B1" s="34" t="s">
        <v>246</v>
      </c>
    </row>
    <row r="2">
      <c r="A2" s="36" t="s">
        <v>65</v>
      </c>
      <c r="B2" s="36" t="s">
        <v>247</v>
      </c>
    </row>
    <row r="3">
      <c r="A3" s="36" t="s">
        <v>64</v>
      </c>
      <c r="B3" s="36" t="s">
        <v>248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9.5"/>
    <col customWidth="1" min="4" max="4" width="25.0"/>
    <col customWidth="1" min="5" max="5" width="26.0"/>
  </cols>
  <sheetData>
    <row r="1">
      <c r="A1" s="34" t="s">
        <v>6</v>
      </c>
      <c r="B1" s="34" t="s">
        <v>249</v>
      </c>
      <c r="C1" s="26"/>
      <c r="D1" s="34" t="s">
        <v>250</v>
      </c>
      <c r="E1" s="34" t="s">
        <v>251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1" t="str">
        <f>IFERROR(__xludf.DUMMYFUNCTION("QUERY({
  'NBA Player List'!K92:K250, ARRAYFORMULA(IF('NBA Player List'!K92:K250&lt;&gt;"""",""F/C"",""""));
  'NBA Player List'!N92:N249, ARRAYFORMULA(IF('NBA Player List'!N92:N249&lt;&gt;"""",""G"",""""))
},
""select Col1, Col2 where Col1 is not null"",
0)"),"Giannis Antetekoumpo")</f>
        <v>Giannis Antetekoumpo</v>
      </c>
      <c r="B2" s="21" t="str">
        <f>IFERROR(__xludf.DUMMYFUNCTION("""COMPUTED_VALUE"""),"F/C")</f>
        <v>F/C</v>
      </c>
      <c r="D2" s="21" t="str">
        <f>IFERROR(__xludf.DUMMYFUNCTION("FILTER(A2:A1000,B2:B1000=""G"")"),"Anthony Edwards")</f>
        <v>Anthony Edwards</v>
      </c>
      <c r="E2" s="21" t="str">
        <f>IFERROR(__xludf.DUMMYFUNCTION("FILTER(A2:A1000,B2:B1000=""F/C"")"),"Giannis Antetekoumpo")</f>
        <v>Giannis Antetekoumpo</v>
      </c>
    </row>
    <row r="3">
      <c r="A3" s="21" t="str">
        <f>IFERROR(__xludf.DUMMYFUNCTION("""COMPUTED_VALUE"""),"Nikola Jokic")</f>
        <v>Nikola Jokic</v>
      </c>
      <c r="B3" s="21" t="str">
        <f>IFERROR(__xludf.DUMMYFUNCTION("""COMPUTED_VALUE"""),"F/C")</f>
        <v>F/C</v>
      </c>
      <c r="D3" s="21" t="str">
        <f>IFERROR(__xludf.DUMMYFUNCTION("""COMPUTED_VALUE"""),"Cade Cunningham")</f>
        <v>Cade Cunningham</v>
      </c>
      <c r="E3" s="21" t="str">
        <f>IFERROR(__xludf.DUMMYFUNCTION("""COMPUTED_VALUE"""),"Nikola Jokic")</f>
        <v>Nikola Jokic</v>
      </c>
    </row>
    <row r="4">
      <c r="A4" s="21" t="str">
        <f>IFERROR(__xludf.DUMMYFUNCTION("""COMPUTED_VALUE"""),"Jayson Tatum")</f>
        <v>Jayson Tatum</v>
      </c>
      <c r="B4" s="21" t="str">
        <f>IFERROR(__xludf.DUMMYFUNCTION("""COMPUTED_VALUE"""),"F/C")</f>
        <v>F/C</v>
      </c>
      <c r="D4" s="21" t="str">
        <f>IFERROR(__xludf.DUMMYFUNCTION("""COMPUTED_VALUE"""),"Luka Doncic")</f>
        <v>Luka Doncic</v>
      </c>
      <c r="E4" s="21" t="str">
        <f>IFERROR(__xludf.DUMMYFUNCTION("""COMPUTED_VALUE"""),"Jayson Tatum")</f>
        <v>Jayson Tatum</v>
      </c>
    </row>
    <row r="5">
      <c r="A5" s="21" t="str">
        <f>IFERROR(__xludf.DUMMYFUNCTION("""COMPUTED_VALUE"""),"LeBron James")</f>
        <v>LeBron James</v>
      </c>
      <c r="B5" s="21" t="str">
        <f>IFERROR(__xludf.DUMMYFUNCTION("""COMPUTED_VALUE"""),"F/C")</f>
        <v>F/C</v>
      </c>
      <c r="D5" s="21" t="str">
        <f>IFERROR(__xludf.DUMMYFUNCTION("""COMPUTED_VALUE"""),"Jalen Brunson")</f>
        <v>Jalen Brunson</v>
      </c>
      <c r="E5" s="21" t="str">
        <f>IFERROR(__xludf.DUMMYFUNCTION("""COMPUTED_VALUE"""),"LeBron James")</f>
        <v>LeBron James</v>
      </c>
    </row>
    <row r="6">
      <c r="A6" s="21" t="str">
        <f>IFERROR(__xludf.DUMMYFUNCTION("""COMPUTED_VALUE"""),"Paolo Banchero")</f>
        <v>Paolo Banchero</v>
      </c>
      <c r="B6" s="21" t="str">
        <f>IFERROR(__xludf.DUMMYFUNCTION("""COMPUTED_VALUE"""),"F/C")</f>
        <v>F/C</v>
      </c>
      <c r="D6" s="21" t="str">
        <f>IFERROR(__xludf.DUMMYFUNCTION("""COMPUTED_VALUE"""),"Shai Gilgeous-Alexander")</f>
        <v>Shai Gilgeous-Alexander</v>
      </c>
      <c r="E6" s="21" t="str">
        <f>IFERROR(__xludf.DUMMYFUNCTION("""COMPUTED_VALUE"""),"Paolo Banchero")</f>
        <v>Paolo Banchero</v>
      </c>
    </row>
    <row r="7">
      <c r="A7" s="21" t="str">
        <f>IFERROR(__xludf.DUMMYFUNCTION("""COMPUTED_VALUE"""),"Alperun Sengun")</f>
        <v>Alperun Sengun</v>
      </c>
      <c r="B7" s="21" t="str">
        <f>IFERROR(__xludf.DUMMYFUNCTION("""COMPUTED_VALUE"""),"F/C")</f>
        <v>F/C</v>
      </c>
      <c r="D7" s="21" t="str">
        <f>IFERROR(__xludf.DUMMYFUNCTION("""COMPUTED_VALUE"""),"Tyrese Haliburton")</f>
        <v>Tyrese Haliburton</v>
      </c>
      <c r="E7" s="21" t="str">
        <f>IFERROR(__xludf.DUMMYFUNCTION("""COMPUTED_VALUE"""),"Alperun Sengun")</f>
        <v>Alperun Sengun</v>
      </c>
    </row>
    <row r="8">
      <c r="A8" s="21" t="str">
        <f>IFERROR(__xludf.DUMMYFUNCTION("""COMPUTED_VALUE"""),"Kawhi Leonard")</f>
        <v>Kawhi Leonard</v>
      </c>
      <c r="B8" s="21" t="str">
        <f>IFERROR(__xludf.DUMMYFUNCTION("""COMPUTED_VALUE"""),"F/C")</f>
        <v>F/C</v>
      </c>
      <c r="D8" s="21" t="str">
        <f>IFERROR(__xludf.DUMMYFUNCTION("""COMPUTED_VALUE"""),"Brandin Podziemski")</f>
        <v>Brandin Podziemski</v>
      </c>
      <c r="E8" s="21" t="str">
        <f>IFERROR(__xludf.DUMMYFUNCTION("""COMPUTED_VALUE"""),"Kawhi Leonard")</f>
        <v>Kawhi Leonard</v>
      </c>
    </row>
    <row r="9">
      <c r="A9" s="21" t="str">
        <f>IFERROR(__xludf.DUMMYFUNCTION("""COMPUTED_VALUE"""),"Franz Wagner")</f>
        <v>Franz Wagner</v>
      </c>
      <c r="B9" s="21" t="str">
        <f>IFERROR(__xludf.DUMMYFUNCTION("""COMPUTED_VALUE"""),"F/C")</f>
        <v>F/C</v>
      </c>
      <c r="D9" s="21" t="str">
        <f>IFERROR(__xludf.DUMMYFUNCTION("""COMPUTED_VALUE"""),"Jamal Murray")</f>
        <v>Jamal Murray</v>
      </c>
      <c r="E9" s="21" t="str">
        <f>IFERROR(__xludf.DUMMYFUNCTION("""COMPUTED_VALUE"""),"Franz Wagner")</f>
        <v>Franz Wagner</v>
      </c>
    </row>
    <row r="10">
      <c r="A10" s="21" t="str">
        <f>IFERROR(__xludf.DUMMYFUNCTION("""COMPUTED_VALUE"""),"Jalen Williams")</f>
        <v>Jalen Williams</v>
      </c>
      <c r="B10" s="21" t="str">
        <f>IFERROR(__xludf.DUMMYFUNCTION("""COMPUTED_VALUE"""),"F/C")</f>
        <v>F/C</v>
      </c>
      <c r="D10" s="21" t="str">
        <f>IFERROR(__xludf.DUMMYFUNCTION("""COMPUTED_VALUE"""),"James Harden")</f>
        <v>James Harden</v>
      </c>
      <c r="E10" s="21" t="str">
        <f>IFERROR(__xludf.DUMMYFUNCTION("""COMPUTED_VALUE"""),"Jalen Williams")</f>
        <v>Jalen Williams</v>
      </c>
    </row>
    <row r="11">
      <c r="A11" s="21" t="str">
        <f>IFERROR(__xludf.DUMMYFUNCTION("""COMPUTED_VALUE"""),"Karl-Anthony Towns")</f>
        <v>Karl-Anthony Towns</v>
      </c>
      <c r="B11" s="21" t="str">
        <f>IFERROR(__xludf.DUMMYFUNCTION("""COMPUTED_VALUE"""),"F/C")</f>
        <v>F/C</v>
      </c>
      <c r="D11" s="21" t="str">
        <f>IFERROR(__xludf.DUMMYFUNCTION("""COMPUTED_VALUE"""),"Stephen Curry")</f>
        <v>Stephen Curry</v>
      </c>
      <c r="E11" s="21" t="str">
        <f>IFERROR(__xludf.DUMMYFUNCTION("""COMPUTED_VALUE"""),"Karl-Anthony Towns")</f>
        <v>Karl-Anthony Towns</v>
      </c>
    </row>
    <row r="12">
      <c r="A12" s="21" t="str">
        <f>IFERROR(__xludf.DUMMYFUNCTION("""COMPUTED_VALUE"""),"Rudy Gobert")</f>
        <v>Rudy Gobert</v>
      </c>
      <c r="B12" s="21" t="str">
        <f>IFERROR(__xludf.DUMMYFUNCTION("""COMPUTED_VALUE"""),"F/C")</f>
        <v>F/C</v>
      </c>
      <c r="D12" s="21" t="str">
        <f>IFERROR(__xludf.DUMMYFUNCTION("""COMPUTED_VALUE"""),"Darius Garland")</f>
        <v>Darius Garland</v>
      </c>
      <c r="E12" s="21" t="str">
        <f>IFERROR(__xludf.DUMMYFUNCTION("""COMPUTED_VALUE"""),"Rudy Gobert")</f>
        <v>Rudy Gobert</v>
      </c>
    </row>
    <row r="13">
      <c r="A13" s="21" t="str">
        <f>IFERROR(__xludf.DUMMYFUNCTION("""COMPUTED_VALUE"""),"Ivica Zubac")</f>
        <v>Ivica Zubac</v>
      </c>
      <c r="B13" s="21" t="str">
        <f>IFERROR(__xludf.DUMMYFUNCTION("""COMPUTED_VALUE"""),"F/C")</f>
        <v>F/C</v>
      </c>
      <c r="D13" s="21" t="str">
        <f>IFERROR(__xludf.DUMMYFUNCTION("""COMPUTED_VALUE"""),"Donovan Mitchell")</f>
        <v>Donovan Mitchell</v>
      </c>
      <c r="E13" s="21" t="str">
        <f>IFERROR(__xludf.DUMMYFUNCTION("""COMPUTED_VALUE"""),"Ivica Zubac")</f>
        <v>Ivica Zubac</v>
      </c>
    </row>
    <row r="14">
      <c r="A14" s="21" t="str">
        <f>IFERROR(__xludf.DUMMYFUNCTION("""COMPUTED_VALUE"""),"Bam Adebayo")</f>
        <v>Bam Adebayo</v>
      </c>
      <c r="B14" s="21" t="str">
        <f>IFERROR(__xludf.DUMMYFUNCTION("""COMPUTED_VALUE"""),"F/C")</f>
        <v>F/C</v>
      </c>
      <c r="D14" s="21" t="str">
        <f>IFERROR(__xludf.DUMMYFUNCTION("""COMPUTED_VALUE"""),"Christian Braun")</f>
        <v>Christian Braun</v>
      </c>
      <c r="E14" s="21" t="str">
        <f>IFERROR(__xludf.DUMMYFUNCTION("""COMPUTED_VALUE"""),"Bam Adebayo")</f>
        <v>Bam Adebayo</v>
      </c>
    </row>
    <row r="15">
      <c r="A15" s="21" t="str">
        <f>IFERROR(__xludf.DUMMYFUNCTION("""COMPUTED_VALUE"""),"Josh Hart")</f>
        <v>Josh Hart</v>
      </c>
      <c r="B15" s="21" t="str">
        <f>IFERROR(__xludf.DUMMYFUNCTION("""COMPUTED_VALUE"""),"F/C")</f>
        <v>F/C</v>
      </c>
      <c r="D15" s="21" t="str">
        <f>IFERROR(__xludf.DUMMYFUNCTION("""COMPUTED_VALUE"""),"Fred VanVleet")</f>
        <v>Fred VanVleet</v>
      </c>
      <c r="E15" s="21" t="str">
        <f>IFERROR(__xludf.DUMMYFUNCTION("""COMPUTED_VALUE"""),"Josh Hart")</f>
        <v>Josh Hart</v>
      </c>
    </row>
    <row r="16">
      <c r="A16" s="21" t="str">
        <f>IFERROR(__xludf.DUMMYFUNCTION("""COMPUTED_VALUE"""),"Jaylen Brown")</f>
        <v>Jaylen Brown</v>
      </c>
      <c r="B16" s="21" t="str">
        <f>IFERROR(__xludf.DUMMYFUNCTION("""COMPUTED_VALUE"""),"F/C")</f>
        <v>F/C</v>
      </c>
      <c r="D16" s="21" t="str">
        <f>IFERROR(__xludf.DUMMYFUNCTION("""COMPUTED_VALUE"""),"Derrick White")</f>
        <v>Derrick White</v>
      </c>
      <c r="E16" s="21" t="str">
        <f>IFERROR(__xludf.DUMMYFUNCTION("""COMPUTED_VALUE"""),"Jaylen Brown")</f>
        <v>Jaylen Brown</v>
      </c>
    </row>
    <row r="17">
      <c r="A17" s="21" t="str">
        <f>IFERROR(__xludf.DUMMYFUNCTION("""COMPUTED_VALUE"""),"Chet Holmgren")</f>
        <v>Chet Holmgren</v>
      </c>
      <c r="B17" s="21" t="str">
        <f>IFERROR(__xludf.DUMMYFUNCTION("""COMPUTED_VALUE"""),"F/C")</f>
        <v>F/C</v>
      </c>
      <c r="D17" s="21" t="str">
        <f>IFERROR(__xludf.DUMMYFUNCTION("""COMPUTED_VALUE"""),"Mikal Bridges")</f>
        <v>Mikal Bridges</v>
      </c>
      <c r="E17" s="21" t="str">
        <f>IFERROR(__xludf.DUMMYFUNCTION("""COMPUTED_VALUE"""),"Chet Holmgren")</f>
        <v>Chet Holmgren</v>
      </c>
    </row>
    <row r="18">
      <c r="A18" s="21" t="str">
        <f>IFERROR(__xludf.DUMMYFUNCTION("""COMPUTED_VALUE"""),"Julius Randle")</f>
        <v>Julius Randle</v>
      </c>
      <c r="B18" s="21" t="str">
        <f>IFERROR(__xludf.DUMMYFUNCTION("""COMPUTED_VALUE"""),"F/C")</f>
        <v>F/C</v>
      </c>
      <c r="D18" s="21" t="str">
        <f>IFERROR(__xludf.DUMMYFUNCTION("""COMPUTED_VALUE"""),"Ja Morant")</f>
        <v>Ja Morant</v>
      </c>
      <c r="E18" s="21" t="str">
        <f>IFERROR(__xludf.DUMMYFUNCTION("""COMPUTED_VALUE"""),"Julius Randle")</f>
        <v>Julius Randle</v>
      </c>
    </row>
    <row r="19">
      <c r="A19" s="21" t="str">
        <f>IFERROR(__xludf.DUMMYFUNCTION("""COMPUTED_VALUE"""),"Michael Porter Jr.")</f>
        <v>Michael Porter Jr.</v>
      </c>
      <c r="B19" s="21" t="str">
        <f>IFERROR(__xludf.DUMMYFUNCTION("""COMPUTED_VALUE"""),"F/C")</f>
        <v>F/C</v>
      </c>
      <c r="D19" s="21" t="str">
        <f>IFERROR(__xludf.DUMMYFUNCTION("""COMPUTED_VALUE"""),"Jalen Green")</f>
        <v>Jalen Green</v>
      </c>
      <c r="E19" s="21" t="str">
        <f>IFERROR(__xludf.DUMMYFUNCTION("""COMPUTED_VALUE"""),"Michael Porter Jr.")</f>
        <v>Michael Porter Jr.</v>
      </c>
    </row>
    <row r="20">
      <c r="A20" s="21" t="str">
        <f>IFERROR(__xludf.DUMMYFUNCTION("""COMPUTED_VALUE"""),"Jarrett Allen")</f>
        <v>Jarrett Allen</v>
      </c>
      <c r="B20" s="21" t="str">
        <f>IFERROR(__xludf.DUMMYFUNCTION("""COMPUTED_VALUE"""),"F/C")</f>
        <v>F/C</v>
      </c>
      <c r="D20" s="21" t="str">
        <f>IFERROR(__xludf.DUMMYFUNCTION("""COMPUTED_VALUE"""),"Tyler Herro")</f>
        <v>Tyler Herro</v>
      </c>
      <c r="E20" s="21" t="str">
        <f>IFERROR(__xludf.DUMMYFUNCTION("""COMPUTED_VALUE"""),"Jarrett Allen")</f>
        <v>Jarrett Allen</v>
      </c>
    </row>
    <row r="21">
      <c r="A21" s="21" t="str">
        <f>IFERROR(__xludf.DUMMYFUNCTION("""COMPUTED_VALUE"""),"Jalen Duren")</f>
        <v>Jalen Duren</v>
      </c>
      <c r="B21" s="21" t="str">
        <f>IFERROR(__xludf.DUMMYFUNCTION("""COMPUTED_VALUE"""),"F/C")</f>
        <v>F/C</v>
      </c>
      <c r="D21" s="21" t="str">
        <f>IFERROR(__xludf.DUMMYFUNCTION("""COMPUTED_VALUE"""),"Austin Reaves")</f>
        <v>Austin Reaves</v>
      </c>
      <c r="E21" s="21" t="str">
        <f>IFERROR(__xludf.DUMMYFUNCTION("""COMPUTED_VALUE"""),"Jalen Duren")</f>
        <v>Jalen Duren</v>
      </c>
    </row>
    <row r="22">
      <c r="A22" s="21" t="str">
        <f>IFERROR(__xludf.DUMMYFUNCTION("""COMPUTED_VALUE"""),"Pascal Siakam")</f>
        <v>Pascal Siakam</v>
      </c>
      <c r="B22" s="21" t="str">
        <f>IFERROR(__xludf.DUMMYFUNCTION("""COMPUTED_VALUE"""),"F/C")</f>
        <v>F/C</v>
      </c>
      <c r="D22" s="21" t="str">
        <f>IFERROR(__xludf.DUMMYFUNCTION("""COMPUTED_VALUE"""),"Donte DiVincenzo ")</f>
        <v>Donte DiVincenzo </v>
      </c>
      <c r="E22" s="21" t="str">
        <f>IFERROR(__xludf.DUMMYFUNCTION("""COMPUTED_VALUE"""),"Pascal Siakam")</f>
        <v>Pascal Siakam</v>
      </c>
    </row>
    <row r="23">
      <c r="A23" s="21" t="str">
        <f>IFERROR(__xludf.DUMMYFUNCTION("""COMPUTED_VALUE"""),"Amen Thompson")</f>
        <v>Amen Thompson</v>
      </c>
      <c r="B23" s="21" t="str">
        <f>IFERROR(__xludf.DUMMYFUNCTION("""COMPUTED_VALUE"""),"F/C")</f>
        <v>F/C</v>
      </c>
      <c r="D23" s="21" t="str">
        <f>IFERROR(__xludf.DUMMYFUNCTION("""COMPUTED_VALUE"""),"Ty Jerome")</f>
        <v>Ty Jerome</v>
      </c>
      <c r="E23" s="21" t="str">
        <f>IFERROR(__xludf.DUMMYFUNCTION("""COMPUTED_VALUE"""),"Amen Thompson")</f>
        <v>Amen Thompson</v>
      </c>
    </row>
    <row r="24">
      <c r="A24" s="21" t="str">
        <f>IFERROR(__xludf.DUMMYFUNCTION("""COMPUTED_VALUE"""),"Jimmy Butler")</f>
        <v>Jimmy Butler</v>
      </c>
      <c r="B24" s="21" t="str">
        <f>IFERROR(__xludf.DUMMYFUNCTION("""COMPUTED_VALUE"""),"F/C")</f>
        <v>F/C</v>
      </c>
      <c r="D24" s="21" t="str">
        <f>IFERROR(__xludf.DUMMYFUNCTION("""COMPUTED_VALUE"""),"Russell Westbrook")</f>
        <v>Russell Westbrook</v>
      </c>
      <c r="E24" s="21" t="str">
        <f>IFERROR(__xludf.DUMMYFUNCTION("""COMPUTED_VALUE"""),"Jimmy Butler")</f>
        <v>Jimmy Butler</v>
      </c>
    </row>
    <row r="25">
      <c r="A25" s="21" t="str">
        <f>IFERROR(__xludf.DUMMYFUNCTION("""COMPUTED_VALUE"""),"Jaren Jackson Jr.")</f>
        <v>Jaren Jackson Jr.</v>
      </c>
      <c r="B25" s="21" t="str">
        <f>IFERROR(__xludf.DUMMYFUNCTION("""COMPUTED_VALUE"""),"F/C")</f>
        <v>F/C</v>
      </c>
      <c r="D25" s="21" t="str">
        <f>IFERROR(__xludf.DUMMYFUNCTION("""COMPUTED_VALUE"""),"Damian Lillard")</f>
        <v>Damian Lillard</v>
      </c>
      <c r="E25" s="21" t="str">
        <f>IFERROR(__xludf.DUMMYFUNCTION("""COMPUTED_VALUE"""),"Jaren Jackson Jr.")</f>
        <v>Jaren Jackson Jr.</v>
      </c>
    </row>
    <row r="26">
      <c r="A26" s="21" t="str">
        <f>IFERROR(__xludf.DUMMYFUNCTION("""COMPUTED_VALUE"""),"Rui Hachimura")</f>
        <v>Rui Hachimura</v>
      </c>
      <c r="B26" s="21" t="str">
        <f>IFERROR(__xludf.DUMMYFUNCTION("""COMPUTED_VALUE"""),"F/C")</f>
        <v>F/C</v>
      </c>
      <c r="D26" s="21" t="str">
        <f>IFERROR(__xludf.DUMMYFUNCTION("""COMPUTED_VALUE"""),"Andrew Nembhard")</f>
        <v>Andrew Nembhard</v>
      </c>
      <c r="E26" s="21" t="str">
        <f>IFERROR(__xludf.DUMMYFUNCTION("""COMPUTED_VALUE"""),"Rui Hachimura")</f>
        <v>Rui Hachimura</v>
      </c>
    </row>
    <row r="27">
      <c r="A27" s="21" t="str">
        <f>IFERROR(__xludf.DUMMYFUNCTION("""COMPUTED_VALUE"""),"Myles Turner")</f>
        <v>Myles Turner</v>
      </c>
      <c r="B27" s="21" t="str">
        <f>IFERROR(__xludf.DUMMYFUNCTION("""COMPUTED_VALUE"""),"F/C")</f>
        <v>F/C</v>
      </c>
      <c r="D27" s="21" t="str">
        <f>IFERROR(__xludf.DUMMYFUNCTION("""COMPUTED_VALUE"""),"Malik Beasley")</f>
        <v>Malik Beasley</v>
      </c>
      <c r="E27" s="21" t="str">
        <f>IFERROR(__xludf.DUMMYFUNCTION("""COMPUTED_VALUE"""),"Myles Turner")</f>
        <v>Myles Turner</v>
      </c>
    </row>
    <row r="28">
      <c r="A28" s="21" t="str">
        <f>IFERROR(__xludf.DUMMYFUNCTION("""COMPUTED_VALUE"""),"Evan Mobley")</f>
        <v>Evan Mobley</v>
      </c>
      <c r="B28" s="21" t="str">
        <f>IFERROR(__xludf.DUMMYFUNCTION("""COMPUTED_VALUE"""),"F/C")</f>
        <v>F/C</v>
      </c>
      <c r="D28" s="21" t="str">
        <f>IFERROR(__xludf.DUMMYFUNCTION("""COMPUTED_VALUE"""),"Davion Mitchell")</f>
        <v>Davion Mitchell</v>
      </c>
      <c r="E28" s="21" t="str">
        <f>IFERROR(__xludf.DUMMYFUNCTION("""COMPUTED_VALUE"""),"Evan Mobley")</f>
        <v>Evan Mobley</v>
      </c>
    </row>
    <row r="29">
      <c r="A29" s="21" t="str">
        <f>IFERROR(__xludf.DUMMYFUNCTION("""COMPUTED_VALUE"""),"Aaron Gordon")</f>
        <v>Aaron Gordon</v>
      </c>
      <c r="B29" s="21" t="str">
        <f>IFERROR(__xludf.DUMMYFUNCTION("""COMPUTED_VALUE"""),"F/C")</f>
        <v>F/C</v>
      </c>
      <c r="D29" s="21" t="str">
        <f>IFERROR(__xludf.DUMMYFUNCTION("""COMPUTED_VALUE"""),"Payton Pritchard")</f>
        <v>Payton Pritchard</v>
      </c>
      <c r="E29" s="21" t="str">
        <f>IFERROR(__xludf.DUMMYFUNCTION("""COMPUTED_VALUE"""),"Aaron Gordon")</f>
        <v>Aaron Gordon</v>
      </c>
    </row>
    <row r="30">
      <c r="A30" s="21" t="str">
        <f>IFERROR(__xludf.DUMMYFUNCTION("""COMPUTED_VALUE"""),"Kristaps Porzingis")</f>
        <v>Kristaps Porzingis</v>
      </c>
      <c r="B30" s="21" t="str">
        <f>IFERROR(__xludf.DUMMYFUNCTION("""COMPUTED_VALUE"""),"F/C")</f>
        <v>F/C</v>
      </c>
      <c r="D30" s="21" t="str">
        <f>IFERROR(__xludf.DUMMYFUNCTION("""COMPUTED_VALUE"""),"Tim Hardaway Jr")</f>
        <v>Tim Hardaway Jr</v>
      </c>
      <c r="E30" s="21" t="str">
        <f>IFERROR(__xludf.DUMMYFUNCTION("""COMPUTED_VALUE"""),"Kristaps Porzingis")</f>
        <v>Kristaps Porzingis</v>
      </c>
    </row>
    <row r="31">
      <c r="A31" s="21" t="str">
        <f>IFERROR(__xludf.DUMMYFUNCTION("""COMPUTED_VALUE"""),"Desmond Bane")</f>
        <v>Desmond Bane</v>
      </c>
      <c r="B31" s="21" t="str">
        <f>IFERROR(__xludf.DUMMYFUNCTION("""COMPUTED_VALUE"""),"F/C")</f>
        <v>F/C</v>
      </c>
      <c r="D31" s="21" t="str">
        <f>IFERROR(__xludf.DUMMYFUNCTION("""COMPUTED_VALUE"""),"Kris Dunn")</f>
        <v>Kris Dunn</v>
      </c>
      <c r="E31" s="21" t="str">
        <f>IFERROR(__xludf.DUMMYFUNCTION("""COMPUTED_VALUE"""),"Desmond Bane")</f>
        <v>Desmond Bane</v>
      </c>
    </row>
    <row r="32">
      <c r="A32" s="21" t="str">
        <f>IFERROR(__xludf.DUMMYFUNCTION("""COMPUTED_VALUE"""),"Bobby Portis")</f>
        <v>Bobby Portis</v>
      </c>
      <c r="B32" s="21" t="str">
        <f>IFERROR(__xludf.DUMMYFUNCTION("""COMPUTED_VALUE"""),"F/C")</f>
        <v>F/C</v>
      </c>
      <c r="D32" s="21" t="str">
        <f>IFERROR(__xludf.DUMMYFUNCTION("""COMPUTED_VALUE"""),"Gary Payton II")</f>
        <v>Gary Payton II</v>
      </c>
      <c r="E32" s="21" t="str">
        <f>IFERROR(__xludf.DUMMYFUNCTION("""COMPUTED_VALUE"""),"Bobby Portis")</f>
        <v>Bobby Portis</v>
      </c>
    </row>
    <row r="33">
      <c r="A33" s="21" t="str">
        <f>IFERROR(__xludf.DUMMYFUNCTION("""COMPUTED_VALUE"""),"Dillon Brooks")</f>
        <v>Dillon Brooks</v>
      </c>
      <c r="B33" s="21" t="str">
        <f>IFERROR(__xludf.DUMMYFUNCTION("""COMPUTED_VALUE"""),"F/C")</f>
        <v>F/C</v>
      </c>
      <c r="D33" s="21" t="str">
        <f>IFERROR(__xludf.DUMMYFUNCTION("""COMPUTED_VALUE"""),"Benedict Mathurin")</f>
        <v>Benedict Mathurin</v>
      </c>
      <c r="E33" s="21" t="str">
        <f>IFERROR(__xludf.DUMMYFUNCTION("""COMPUTED_VALUE"""),"Dillon Brooks")</f>
        <v>Dillon Brooks</v>
      </c>
    </row>
    <row r="34">
      <c r="A34" s="21" t="str">
        <f>IFERROR(__xludf.DUMMYFUNCTION("""COMPUTED_VALUE"""),"Tobias Harris")</f>
        <v>Tobias Harris</v>
      </c>
      <c r="B34" s="21" t="str">
        <f>IFERROR(__xludf.DUMMYFUNCTION("""COMPUTED_VALUE"""),"F/C")</f>
        <v>F/C</v>
      </c>
      <c r="D34" s="21" t="str">
        <f>IFERROR(__xludf.DUMMYFUNCTION("""COMPUTED_VALUE"""),"Cason Wallace")</f>
        <v>Cason Wallace</v>
      </c>
      <c r="E34" s="21" t="str">
        <f>IFERROR(__xludf.DUMMYFUNCTION("""COMPUTED_VALUE"""),"Tobias Harris")</f>
        <v>Tobias Harris</v>
      </c>
    </row>
    <row r="35">
      <c r="A35" s="21" t="str">
        <f>IFERROR(__xludf.DUMMYFUNCTION("""COMPUTED_VALUE"""),"Isaiah Hartenstein")</f>
        <v>Isaiah Hartenstein</v>
      </c>
      <c r="B35" s="21" t="str">
        <f>IFERROR(__xludf.DUMMYFUNCTION("""COMPUTED_VALUE"""),"F/C")</f>
        <v>F/C</v>
      </c>
      <c r="D35" s="21" t="str">
        <f>IFERROR(__xludf.DUMMYFUNCTION("""COMPUTED_VALUE"""),"Jrue Holiday")</f>
        <v>Jrue Holiday</v>
      </c>
      <c r="E35" s="21" t="str">
        <f>IFERROR(__xludf.DUMMYFUNCTION("""COMPUTED_VALUE"""),"Isaiah Hartenstein")</f>
        <v>Isaiah Hartenstein</v>
      </c>
    </row>
    <row r="36">
      <c r="A36" s="21" t="str">
        <f>IFERROR(__xludf.DUMMYFUNCTION("""COMPUTED_VALUE"""),"OG Anunoby")</f>
        <v>OG Anunoby</v>
      </c>
      <c r="B36" s="21" t="str">
        <f>IFERROR(__xludf.DUMMYFUNCTION("""COMPUTED_VALUE"""),"F/C")</f>
        <v>F/C</v>
      </c>
      <c r="D36" s="21" t="str">
        <f>IFERROR(__xludf.DUMMYFUNCTION("""COMPUTED_VALUE"""),"Nickeil Alexander-Walker")</f>
        <v>Nickeil Alexander-Walker</v>
      </c>
      <c r="E36" s="21" t="str">
        <f>IFERROR(__xludf.DUMMYFUNCTION("""COMPUTED_VALUE"""),"OG Anunoby")</f>
        <v>OG Anunoby</v>
      </c>
    </row>
    <row r="37">
      <c r="A37" s="21" t="str">
        <f>IFERROR(__xludf.DUMMYFUNCTION("""COMPUTED_VALUE"""),"Andrew Wiggins")</f>
        <v>Andrew Wiggins</v>
      </c>
      <c r="B37" s="21" t="str">
        <f>IFERROR(__xludf.DUMMYFUNCTION("""COMPUTED_VALUE"""),"F/C")</f>
        <v>F/C</v>
      </c>
      <c r="D37" s="21" t="str">
        <f>IFERROR(__xludf.DUMMYFUNCTION("""COMPUTED_VALUE"""),"Daniss Jenkins")</f>
        <v>Daniss Jenkins</v>
      </c>
      <c r="E37" s="21" t="str">
        <f>IFERROR(__xludf.DUMMYFUNCTION("""COMPUTED_VALUE"""),"Andrew Wiggins")</f>
        <v>Andrew Wiggins</v>
      </c>
    </row>
    <row r="38">
      <c r="A38" s="21" t="str">
        <f>IFERROR(__xludf.DUMMYFUNCTION("""COMPUTED_VALUE"""),"Naz Reid")</f>
        <v>Naz Reid</v>
      </c>
      <c r="B38" s="21" t="str">
        <f>IFERROR(__xludf.DUMMYFUNCTION("""COMPUTED_VALUE"""),"F/C")</f>
        <v>F/C</v>
      </c>
      <c r="D38" s="21" t="str">
        <f>IFERROR(__xludf.DUMMYFUNCTION("""COMPUTED_VALUE"""),"Caris LeVert")</f>
        <v>Caris LeVert</v>
      </c>
      <c r="E38" s="21" t="str">
        <f>IFERROR(__xludf.DUMMYFUNCTION("""COMPUTED_VALUE"""),"Naz Reid")</f>
        <v>Naz Reid</v>
      </c>
    </row>
    <row r="39">
      <c r="A39" s="21" t="str">
        <f>IFERROR(__xludf.DUMMYFUNCTION("""COMPUTED_VALUE"""),"Max Strus")</f>
        <v>Max Strus</v>
      </c>
      <c r="B39" s="21" t="str">
        <f>IFERROR(__xludf.DUMMYFUNCTION("""COMPUTED_VALUE"""),"F/C")</f>
        <v>F/C</v>
      </c>
      <c r="D39" s="21" t="str">
        <f>IFERROR(__xludf.DUMMYFUNCTION("""COMPUTED_VALUE"""),"Kevin Huerter")</f>
        <v>Kevin Huerter</v>
      </c>
      <c r="E39" s="21" t="str">
        <f>IFERROR(__xludf.DUMMYFUNCTION("""COMPUTED_VALUE"""),"Max Strus")</f>
        <v>Max Strus</v>
      </c>
    </row>
    <row r="40">
      <c r="A40" s="21" t="str">
        <f>IFERROR(__xludf.DUMMYFUNCTION("""COMPUTED_VALUE"""),"Draymond Green")</f>
        <v>Draymond Green</v>
      </c>
      <c r="B40" s="21" t="str">
        <f>IFERROR(__xludf.DUMMYFUNCTION("""COMPUTED_VALUE"""),"F/C")</f>
        <v>F/C</v>
      </c>
      <c r="D40" s="21" t="str">
        <f>IFERROR(__xludf.DUMMYFUNCTION("""COMPUTED_VALUE"""),"Duncan Robinson")</f>
        <v>Duncan Robinson</v>
      </c>
      <c r="E40" s="21" t="str">
        <f>IFERROR(__xludf.DUMMYFUNCTION("""COMPUTED_VALUE"""),"Draymond Green")</f>
        <v>Draymond Green</v>
      </c>
    </row>
    <row r="41">
      <c r="A41" s="21" t="str">
        <f>IFERROR(__xludf.DUMMYFUNCTION("""COMPUTED_VALUE"""),"Jaden McDaniels")</f>
        <v>Jaden McDaniels</v>
      </c>
      <c r="B41" s="21" t="str">
        <f>IFERROR(__xludf.DUMMYFUNCTION("""COMPUTED_VALUE"""),"F/C")</f>
        <v>F/C</v>
      </c>
      <c r="D41" s="21" t="str">
        <f>IFERROR(__xludf.DUMMYFUNCTION("""COMPUTED_VALUE"""),"Jose Alverado")</f>
        <v>Jose Alverado</v>
      </c>
      <c r="E41" s="21" t="str">
        <f>IFERROR(__xludf.DUMMYFUNCTION("""COMPUTED_VALUE"""),"Jaden McDaniels")</f>
        <v>Jaden McDaniels</v>
      </c>
    </row>
    <row r="42">
      <c r="A42" s="21" t="str">
        <f>IFERROR(__xludf.DUMMYFUNCTION("""COMPUTED_VALUE"""),"Jabari Smith Jr")</f>
        <v>Jabari Smith Jr</v>
      </c>
      <c r="B42" s="21" t="str">
        <f>IFERROR(__xludf.DUMMYFUNCTION("""COMPUTED_VALUE"""),"F/C")</f>
        <v>F/C</v>
      </c>
      <c r="D42" s="21" t="str">
        <f>IFERROR(__xludf.DUMMYFUNCTION("""COMPUTED_VALUE"""),"Landry Shamet")</f>
        <v>Landry Shamet</v>
      </c>
      <c r="E42" s="21" t="str">
        <f>IFERROR(__xludf.DUMMYFUNCTION("""COMPUTED_VALUE"""),"Jabari Smith Jr")</f>
        <v>Jabari Smith Jr</v>
      </c>
    </row>
    <row r="43">
      <c r="A43" s="21" t="str">
        <f>IFERROR(__xludf.DUMMYFUNCTION("""COMPUTED_VALUE"""),"Ausar Thompson")</f>
        <v>Ausar Thompson</v>
      </c>
      <c r="B43" s="21" t="str">
        <f>IFERROR(__xludf.DUMMYFUNCTION("""COMPUTED_VALUE"""),"F/C")</f>
        <v>F/C</v>
      </c>
      <c r="D43" s="21" t="str">
        <f>IFERROR(__xludf.DUMMYFUNCTION("""COMPUTED_VALUE"""),"CJ McCollum")</f>
        <v>CJ McCollum</v>
      </c>
      <c r="E43" s="21" t="str">
        <f>IFERROR(__xludf.DUMMYFUNCTION("""COMPUTED_VALUE"""),"Ausar Thompson")</f>
        <v>Ausar Thompson</v>
      </c>
    </row>
    <row r="44">
      <c r="A44" s="21" t="str">
        <f>IFERROR(__xludf.DUMMYFUNCTION("""COMPUTED_VALUE"""),"Derrik Jones Jr.")</f>
        <v>Derrik Jones Jr.</v>
      </c>
      <c r="B44" s="21" t="str">
        <f>IFERROR(__xludf.DUMMYFUNCTION("""COMPUTED_VALUE"""),"F/C")</f>
        <v>F/C</v>
      </c>
      <c r="D44" s="21" t="str">
        <f>IFERROR(__xludf.DUMMYFUNCTION("""COMPUTED_VALUE"""),"Immanuel Quickley")</f>
        <v>Immanuel Quickley</v>
      </c>
      <c r="E44" s="21" t="str">
        <f>IFERROR(__xludf.DUMMYFUNCTION("""COMPUTED_VALUE"""),"Derrik Jones Jr.")</f>
        <v>Derrik Jones Jr.</v>
      </c>
    </row>
    <row r="45">
      <c r="A45" s="21" t="str">
        <f>IFERROR(__xludf.DUMMYFUNCTION("""COMPUTED_VALUE"""),"Jonathan Kuminga")</f>
        <v>Jonathan Kuminga</v>
      </c>
      <c r="B45" s="21" t="str">
        <f>IFERROR(__xludf.DUMMYFUNCTION("""COMPUTED_VALUE"""),"F/C")</f>
        <v>F/C</v>
      </c>
      <c r="D45" s="21" t="str">
        <f>IFERROR(__xludf.DUMMYFUNCTION("""COMPUTED_VALUE"""),"Desmond Bane")</f>
        <v>Desmond Bane</v>
      </c>
      <c r="E45" s="21" t="str">
        <f>IFERROR(__xludf.DUMMYFUNCTION("""COMPUTED_VALUE"""),"Jonathan Kuminga")</f>
        <v>Jonathan Kuminga</v>
      </c>
    </row>
    <row r="46">
      <c r="A46" s="21" t="str">
        <f>IFERROR(__xludf.DUMMYFUNCTION("""COMPUTED_VALUE"""),"Norman Powell")</f>
        <v>Norman Powell</v>
      </c>
      <c r="B46" s="21" t="str">
        <f>IFERROR(__xludf.DUMMYFUNCTION("""COMPUTED_VALUE"""),"F/C")</f>
        <v>F/C</v>
      </c>
      <c r="D46" s="21" t="str">
        <f>IFERROR(__xludf.DUMMYFUNCTION("""COMPUTED_VALUE"""),"Anthony Black")</f>
        <v>Anthony Black</v>
      </c>
      <c r="E46" s="21" t="str">
        <f>IFERROR(__xludf.DUMMYFUNCTION("""COMPUTED_VALUE"""),"Norman Powell")</f>
        <v>Norman Powell</v>
      </c>
    </row>
    <row r="47">
      <c r="A47" s="21" t="str">
        <f>IFERROR(__xludf.DUMMYFUNCTION("""COMPUTED_VALUE"""),"Bojan Bogdanovic")</f>
        <v>Bojan Bogdanovic</v>
      </c>
      <c r="B47" s="21" t="str">
        <f>IFERROR(__xludf.DUMMYFUNCTION("""COMPUTED_VALUE"""),"F/C")</f>
        <v>F/C</v>
      </c>
      <c r="D47" s="21" t="str">
        <f>IFERROR(__xludf.DUMMYFUNCTION("""COMPUTED_VALUE"""),"Tyrese Maxey")</f>
        <v>Tyrese Maxey</v>
      </c>
      <c r="E47" s="21" t="str">
        <f>IFERROR(__xludf.DUMMYFUNCTION("""COMPUTED_VALUE"""),"Bojan Bogdanovic")</f>
        <v>Bojan Bogdanovic</v>
      </c>
    </row>
    <row r="48">
      <c r="A48" s="21" t="str">
        <f>IFERROR(__xludf.DUMMYFUNCTION("""COMPUTED_VALUE"""),"Mitchell Robinson")</f>
        <v>Mitchell Robinson</v>
      </c>
      <c r="B48" s="21" t="str">
        <f>IFERROR(__xludf.DUMMYFUNCTION("""COMPUTED_VALUE"""),"F/C")</f>
        <v>F/C</v>
      </c>
      <c r="D48" s="21" t="str">
        <f>IFERROR(__xludf.DUMMYFUNCTION("""COMPUTED_VALUE"""),"VJ Edgecomb")</f>
        <v>VJ Edgecomb</v>
      </c>
      <c r="E48" s="21" t="str">
        <f>IFERROR(__xludf.DUMMYFUNCTION("""COMPUTED_VALUE"""),"Mitchell Robinson")</f>
        <v>Mitchell Robinson</v>
      </c>
    </row>
    <row r="49">
      <c r="A49" s="21" t="str">
        <f>IFERROR(__xludf.DUMMYFUNCTION("""COMPUTED_VALUE"""),"Tari Eason")</f>
        <v>Tari Eason</v>
      </c>
      <c r="B49" s="21" t="str">
        <f>IFERROR(__xludf.DUMMYFUNCTION("""COMPUTED_VALUE"""),"F/C")</f>
        <v>F/C</v>
      </c>
      <c r="D49" s="21" t="str">
        <f>IFERROR(__xludf.DUMMYFUNCTION("""COMPUTED_VALUE"""),"LaMelo Ball")</f>
        <v>LaMelo Ball</v>
      </c>
      <c r="E49" s="21" t="str">
        <f>IFERROR(__xludf.DUMMYFUNCTION("""COMPUTED_VALUE"""),"Tari Eason")</f>
        <v>Tari Eason</v>
      </c>
    </row>
    <row r="50">
      <c r="A50" s="21" t="str">
        <f>IFERROR(__xludf.DUMMYFUNCTION("""COMPUTED_VALUE"""),"Steven Adams")</f>
        <v>Steven Adams</v>
      </c>
      <c r="B50" s="21" t="str">
        <f>IFERROR(__xludf.DUMMYFUNCTION("""COMPUTED_VALUE"""),"F/C")</f>
        <v>F/C</v>
      </c>
      <c r="D50" s="21" t="str">
        <f>IFERROR(__xludf.DUMMYFUNCTION("""COMPUTED_VALUE"""),"Coby White")</f>
        <v>Coby White</v>
      </c>
      <c r="E50" s="21" t="str">
        <f>IFERROR(__xludf.DUMMYFUNCTION("""COMPUTED_VALUE"""),"Steven Adams")</f>
        <v>Steven Adams</v>
      </c>
    </row>
    <row r="51">
      <c r="A51" s="21" t="str">
        <f>IFERROR(__xludf.DUMMYFUNCTION("""COMPUTED_VALUE"""),"Sam Hauser")</f>
        <v>Sam Hauser</v>
      </c>
      <c r="B51" s="21" t="str">
        <f>IFERROR(__xludf.DUMMYFUNCTION("""COMPUTED_VALUE"""),"F/C")</f>
        <v>F/C</v>
      </c>
      <c r="D51" s="21" t="str">
        <f>IFERROR(__xludf.DUMMYFUNCTION("""COMPUTED_VALUE"""),"Kon Knueppel")</f>
        <v>Kon Knueppel</v>
      </c>
      <c r="E51" s="21" t="str">
        <f>IFERROR(__xludf.DUMMYFUNCTION("""COMPUTED_VALUE"""),"Sam Hauser")</f>
        <v>Sam Hauser</v>
      </c>
    </row>
    <row r="52">
      <c r="A52" s="21" t="str">
        <f>IFERROR(__xludf.DUMMYFUNCTION("""COMPUTED_VALUE"""),"Deandre Hunter")</f>
        <v>Deandre Hunter</v>
      </c>
      <c r="B52" s="21" t="str">
        <f>IFERROR(__xludf.DUMMYFUNCTION("""COMPUTED_VALUE"""),"F/C")</f>
        <v>F/C</v>
      </c>
      <c r="D52" s="21" t="str">
        <f>IFERROR(__xludf.DUMMYFUNCTION("""COMPUTED_VALUE"""),"Norman Powell")</f>
        <v>Norman Powell</v>
      </c>
      <c r="E52" s="21" t="str">
        <f>IFERROR(__xludf.DUMMYFUNCTION("""COMPUTED_VALUE"""),"Deandre Hunter")</f>
        <v>Deandre Hunter</v>
      </c>
    </row>
    <row r="53">
      <c r="A53" s="21" t="str">
        <f>IFERROR(__xludf.DUMMYFUNCTION("""COMPUTED_VALUE"""),"Aaron Wiggins")</f>
        <v>Aaron Wiggins</v>
      </c>
      <c r="B53" s="21" t="str">
        <f>IFERROR(__xludf.DUMMYFUNCTION("""COMPUTED_VALUE"""),"F/C")</f>
        <v>F/C</v>
      </c>
      <c r="D53" s="21" t="str">
        <f>IFERROR(__xludf.DUMMYFUNCTION("""COMPUTED_VALUE"""),"Ajay Mitchell")</f>
        <v>Ajay Mitchell</v>
      </c>
      <c r="E53" s="21" t="str">
        <f>IFERROR(__xludf.DUMMYFUNCTION("""COMPUTED_VALUE"""),"Aaron Wiggins")</f>
        <v>Aaron Wiggins</v>
      </c>
    </row>
    <row r="54">
      <c r="A54" s="21" t="str">
        <f>IFERROR(__xludf.DUMMYFUNCTION("""COMPUTED_VALUE"""),"Buddy Hield")</f>
        <v>Buddy Hield</v>
      </c>
      <c r="B54" s="21" t="str">
        <f>IFERROR(__xludf.DUMMYFUNCTION("""COMPUTED_VALUE"""),"F/C")</f>
        <v>F/C</v>
      </c>
      <c r="D54" s="21" t="str">
        <f>IFERROR(__xludf.DUMMYFUNCTION("""COMPUTED_VALUE"""),"De'Arron Fox")</f>
        <v>De'Arron Fox</v>
      </c>
      <c r="E54" s="21" t="str">
        <f>IFERROR(__xludf.DUMMYFUNCTION("""COMPUTED_VALUE"""),"Buddy Hield")</f>
        <v>Buddy Hield</v>
      </c>
    </row>
    <row r="55">
      <c r="A55" s="21" t="str">
        <f>IFERROR(__xludf.DUMMYFUNCTION("""COMPUTED_VALUE"""),"Obi Toppin")</f>
        <v>Obi Toppin</v>
      </c>
      <c r="B55" s="21" t="str">
        <f>IFERROR(__xludf.DUMMYFUNCTION("""COMPUTED_VALUE"""),"F/C")</f>
        <v>F/C</v>
      </c>
      <c r="D55" s="21" t="str">
        <f>IFERROR(__xludf.DUMMYFUNCTION("""COMPUTED_VALUE"""),"Dylan Harper")</f>
        <v>Dylan Harper</v>
      </c>
      <c r="E55" s="21" t="str">
        <f>IFERROR(__xludf.DUMMYFUNCTION("""COMPUTED_VALUE"""),"Obi Toppin")</f>
        <v>Obi Toppin</v>
      </c>
    </row>
    <row r="56">
      <c r="A56" s="21" t="str">
        <f>IFERROR(__xludf.DUMMYFUNCTION("""COMPUTED_VALUE"""),"Aaron Nesmith")</f>
        <v>Aaron Nesmith</v>
      </c>
      <c r="B56" s="21" t="str">
        <f>IFERROR(__xludf.DUMMYFUNCTION("""COMPUTED_VALUE"""),"F/C")</f>
        <v>F/C</v>
      </c>
      <c r="D56" s="21" t="str">
        <f>IFERROR(__xludf.DUMMYFUNCTION("""COMPUTED_VALUE"""),"Stephon Castle")</f>
        <v>Stephon Castle</v>
      </c>
      <c r="E56" s="21" t="str">
        <f>IFERROR(__xludf.DUMMYFUNCTION("""COMPUTED_VALUE"""),"Aaron Nesmith")</f>
        <v>Aaron Nesmith</v>
      </c>
    </row>
    <row r="57">
      <c r="A57" s="21" t="str">
        <f>IFERROR(__xludf.DUMMYFUNCTION("""COMPUTED_VALUE"""),"Al Horford")</f>
        <v>Al Horford</v>
      </c>
      <c r="B57" s="21" t="str">
        <f>IFERROR(__xludf.DUMMYFUNCTION("""COMPUTED_VALUE"""),"F/C")</f>
        <v>F/C</v>
      </c>
      <c r="D57" s="21" t="str">
        <f>IFERROR(__xludf.DUMMYFUNCTION("""COMPUTED_VALUE"""),"Keldon Johnson")</f>
        <v>Keldon Johnson</v>
      </c>
      <c r="E57" s="21" t="str">
        <f>IFERROR(__xludf.DUMMYFUNCTION("""COMPUTED_VALUE"""),"Al Horford")</f>
        <v>Al Horford</v>
      </c>
    </row>
    <row r="58">
      <c r="A58" s="21" t="str">
        <f>IFERROR(__xludf.DUMMYFUNCTION("""COMPUTED_VALUE"""),"Luke Kornet")</f>
        <v>Luke Kornet</v>
      </c>
      <c r="B58" s="21" t="str">
        <f>IFERROR(__xludf.DUMMYFUNCTION("""COMPUTED_VALUE"""),"F/C")</f>
        <v>F/C</v>
      </c>
      <c r="D58" s="21" t="str">
        <f>IFERROR(__xludf.DUMMYFUNCTION("""COMPUTED_VALUE"""),"Bruce Brown")</f>
        <v>Bruce Brown</v>
      </c>
      <c r="E58" s="21" t="str">
        <f>IFERROR(__xludf.DUMMYFUNCTION("""COMPUTED_VALUE"""),"Luke Kornet")</f>
        <v>Luke Kornet</v>
      </c>
    </row>
    <row r="59">
      <c r="A59" s="21" t="str">
        <f>IFERROR(__xludf.DUMMYFUNCTION("""COMPUTED_VALUE"""),"Hugo Gonzalez")</f>
        <v>Hugo Gonzalez</v>
      </c>
      <c r="B59" s="21" t="str">
        <f>IFERROR(__xludf.DUMMYFUNCTION("""COMPUTED_VALUE"""),"F/C")</f>
        <v>F/C</v>
      </c>
      <c r="D59" s="21" t="str">
        <f>IFERROR(__xludf.DUMMYFUNCTION("""COMPUTED_VALUE"""),"Cameron Johnson")</f>
        <v>Cameron Johnson</v>
      </c>
      <c r="E59" s="21" t="str">
        <f>IFERROR(__xludf.DUMMYFUNCTION("""COMPUTED_VALUE"""),"Hugo Gonzalez")</f>
        <v>Hugo Gonzalez</v>
      </c>
    </row>
    <row r="60">
      <c r="A60" s="21" t="str">
        <f>IFERROR(__xludf.DUMMYFUNCTION("""COMPUTED_VALUE"""),"Neemias Queta")</f>
        <v>Neemias Queta</v>
      </c>
      <c r="B60" s="21" t="str">
        <f>IFERROR(__xludf.DUMMYFUNCTION("""COMPUTED_VALUE"""),"F/C")</f>
        <v>F/C</v>
      </c>
      <c r="D60" s="21" t="str">
        <f>IFERROR(__xludf.DUMMYFUNCTION("""COMPUTED_VALUE"""),"Luke Kennard")</f>
        <v>Luke Kennard</v>
      </c>
      <c r="E60" s="21" t="str">
        <f>IFERROR(__xludf.DUMMYFUNCTION("""COMPUTED_VALUE"""),"Neemias Queta")</f>
        <v>Neemias Queta</v>
      </c>
    </row>
    <row r="61">
      <c r="A61" s="21" t="str">
        <f>IFERROR(__xludf.DUMMYFUNCTION("""COMPUTED_VALUE"""),"Jalen Johnson")</f>
        <v>Jalen Johnson</v>
      </c>
      <c r="B61" s="21" t="str">
        <f>IFERROR(__xludf.DUMMYFUNCTION("""COMPUTED_VALUE"""),"F/C")</f>
        <v>F/C</v>
      </c>
      <c r="D61" s="21" t="str">
        <f>IFERROR(__xludf.DUMMYFUNCTION("""COMPUTED_VALUE"""),"Marcus Smart")</f>
        <v>Marcus Smart</v>
      </c>
      <c r="E61" s="21" t="str">
        <f>IFERROR(__xludf.DUMMYFUNCTION("""COMPUTED_VALUE"""),"Jalen Johnson")</f>
        <v>Jalen Johnson</v>
      </c>
    </row>
    <row r="62">
      <c r="A62" s="21" t="str">
        <f>IFERROR(__xludf.DUMMYFUNCTION("""COMPUTED_VALUE"""),"RJ Barrett")</f>
        <v>RJ Barrett</v>
      </c>
      <c r="B62" s="21" t="str">
        <f>IFERROR(__xludf.DUMMYFUNCTION("""COMPUTED_VALUE"""),"F/C")</f>
        <v>F/C</v>
      </c>
      <c r="D62" s="21" t="str">
        <f>IFERROR(__xludf.DUMMYFUNCTION("""COMPUTED_VALUE"""),"Ayo Dousunmu")</f>
        <v>Ayo Dousunmu</v>
      </c>
      <c r="E62" s="21" t="str">
        <f>IFERROR(__xludf.DUMMYFUNCTION("""COMPUTED_VALUE"""),"RJ Barrett")</f>
        <v>RJ Barrett</v>
      </c>
    </row>
    <row r="63">
      <c r="A63" s="21" t="str">
        <f>IFERROR(__xludf.DUMMYFUNCTION("""COMPUTED_VALUE"""),"Scottie Barnes")</f>
        <v>Scottie Barnes</v>
      </c>
      <c r="B63" s="21" t="str">
        <f>IFERROR(__xludf.DUMMYFUNCTION("""COMPUTED_VALUE"""),"F/C")</f>
        <v>F/C</v>
      </c>
      <c r="D63" s="21" t="str">
        <f>IFERROR(__xludf.DUMMYFUNCTION("""COMPUTED_VALUE"""),"Devin Booker")</f>
        <v>Devin Booker</v>
      </c>
      <c r="E63" s="21" t="str">
        <f>IFERROR(__xludf.DUMMYFUNCTION("""COMPUTED_VALUE"""),"Scottie Barnes")</f>
        <v>Scottie Barnes</v>
      </c>
    </row>
    <row r="64">
      <c r="A64" s="21" t="str">
        <f>IFERROR(__xludf.DUMMYFUNCTION("""COMPUTED_VALUE"""),"Jakob Poeltl")</f>
        <v>Jakob Poeltl</v>
      </c>
      <c r="B64" s="21" t="str">
        <f>IFERROR(__xludf.DUMMYFUNCTION("""COMPUTED_VALUE"""),"F/C")</f>
        <v>F/C</v>
      </c>
      <c r="D64" s="21" t="str">
        <f>IFERROR(__xludf.DUMMYFUNCTION("""COMPUTED_VALUE"""),"Collin Gillespie")</f>
        <v>Collin Gillespie</v>
      </c>
      <c r="E64" s="21" t="str">
        <f>IFERROR(__xludf.DUMMYFUNCTION("""COMPUTED_VALUE"""),"Jakob Poeltl")</f>
        <v>Jakob Poeltl</v>
      </c>
    </row>
    <row r="65">
      <c r="A65" s="21" t="str">
        <f>IFERROR(__xludf.DUMMYFUNCTION("""COMPUTED_VALUE"""),"Paul George")</f>
        <v>Paul George</v>
      </c>
      <c r="B65" s="21" t="str">
        <f>IFERROR(__xludf.DUMMYFUNCTION("""COMPUTED_VALUE"""),"F/C")</f>
        <v>F/C</v>
      </c>
      <c r="D65" s="21" t="str">
        <f>IFERROR(__xludf.DUMMYFUNCTION("""COMPUTED_VALUE"""),"Scoot Henderson")</f>
        <v>Scoot Henderson</v>
      </c>
      <c r="E65" s="21" t="str">
        <f>IFERROR(__xludf.DUMMYFUNCTION("""COMPUTED_VALUE"""),"Paul George")</f>
        <v>Paul George</v>
      </c>
    </row>
    <row r="66">
      <c r="A66" s="21" t="str">
        <f>IFERROR(__xludf.DUMMYFUNCTION("""COMPUTED_VALUE"""),"Joel Embiid")</f>
        <v>Joel Embiid</v>
      </c>
      <c r="B66" s="21" t="str">
        <f>IFERROR(__xludf.DUMMYFUNCTION("""COMPUTED_VALUE"""),"F/C")</f>
        <v>F/C</v>
      </c>
      <c r="D66" s="21" t="str">
        <f>IFERROR(__xludf.DUMMYFUNCTION("""COMPUTED_VALUE"""),"Shaedon Sharpe")</f>
        <v>Shaedon Sharpe</v>
      </c>
      <c r="E66" s="21" t="str">
        <f>IFERROR(__xludf.DUMMYFUNCTION("""COMPUTED_VALUE"""),"Joel Embiid")</f>
        <v>Joel Embiid</v>
      </c>
    </row>
    <row r="67">
      <c r="A67" s="21" t="str">
        <f>IFERROR(__xludf.DUMMYFUNCTION("""COMPUTED_VALUE"""),"Brandon Miller")</f>
        <v>Brandon Miller</v>
      </c>
      <c r="B67" s="21" t="str">
        <f>IFERROR(__xludf.DUMMYFUNCTION("""COMPUTED_VALUE"""),"F/C")</f>
        <v>F/C</v>
      </c>
      <c r="D67" s="21" t="str">
        <f>IFERROR(__xludf.DUMMYFUNCTION("""COMPUTED_VALUE"""),"Bennedict Mathurin")</f>
        <v>Bennedict Mathurin</v>
      </c>
      <c r="E67" s="21" t="str">
        <f>IFERROR(__xludf.DUMMYFUNCTION("""COMPUTED_VALUE"""),"Brandon Miller")</f>
        <v>Brandon Miller</v>
      </c>
    </row>
    <row r="68">
      <c r="A68" s="21" t="str">
        <f>IFERROR(__xludf.DUMMYFUNCTION("""COMPUTED_VALUE"""),"Miles Bridges")</f>
        <v>Miles Bridges</v>
      </c>
      <c r="B68" s="21" t="str">
        <f>IFERROR(__xludf.DUMMYFUNCTION("""COMPUTED_VALUE"""),"F/C")</f>
        <v>F/C</v>
      </c>
      <c r="D68" s="21" t="str">
        <f>IFERROR(__xludf.DUMMYFUNCTION("""COMPUTED_VALUE"""),"Jalen Suggs")</f>
        <v>Jalen Suggs</v>
      </c>
      <c r="E68" s="21" t="str">
        <f>IFERROR(__xludf.DUMMYFUNCTION("""COMPUTED_VALUE"""),"Miles Bridges")</f>
        <v>Miles Bridges</v>
      </c>
    </row>
    <row r="69">
      <c r="A69" s="21" t="str">
        <f>IFERROR(__xludf.DUMMYFUNCTION("""COMPUTED_VALUE"""),"Moussa Diabate")</f>
        <v>Moussa Diabate</v>
      </c>
      <c r="B69" s="21" t="str">
        <f>IFERROR(__xludf.DUMMYFUNCTION("""COMPUTED_VALUE"""),"F/C")</f>
        <v>F/C</v>
      </c>
      <c r="D69" s="21" t="str">
        <f>IFERROR(__xludf.DUMMYFUNCTION("""COMPUTED_VALUE"""),"RJ Barrett")</f>
        <v>RJ Barrett</v>
      </c>
      <c r="E69" s="21" t="str">
        <f>IFERROR(__xludf.DUMMYFUNCTION("""COMPUTED_VALUE"""),"Moussa Diabate")</f>
        <v>Moussa Diabate</v>
      </c>
    </row>
    <row r="70">
      <c r="A70" s="21" t="str">
        <f>IFERROR(__xludf.DUMMYFUNCTION("""COMPUTED_VALUE"""),"Victor Wembanyama")</f>
        <v>Victor Wembanyama</v>
      </c>
      <c r="B70" s="21" t="str">
        <f>IFERROR(__xludf.DUMMYFUNCTION("""COMPUTED_VALUE"""),"F/C")</f>
        <v>F/C</v>
      </c>
      <c r="E70" s="21" t="str">
        <f>IFERROR(__xludf.DUMMYFUNCTION("""COMPUTED_VALUE"""),"Victor Wembanyama")</f>
        <v>Victor Wembanyama</v>
      </c>
    </row>
    <row r="71">
      <c r="A71" s="21" t="str">
        <f>IFERROR(__xludf.DUMMYFUNCTION("""COMPUTED_VALUE"""),"Harrison Barnes")</f>
        <v>Harrison Barnes</v>
      </c>
      <c r="B71" s="21" t="str">
        <f>IFERROR(__xludf.DUMMYFUNCTION("""COMPUTED_VALUE"""),"F/C")</f>
        <v>F/C</v>
      </c>
      <c r="E71" s="21" t="str">
        <f>IFERROR(__xludf.DUMMYFUNCTION("""COMPUTED_VALUE"""),"Harrison Barnes")</f>
        <v>Harrison Barnes</v>
      </c>
    </row>
    <row r="72">
      <c r="A72" s="21" t="str">
        <f>IFERROR(__xludf.DUMMYFUNCTION("""COMPUTED_VALUE"""),"Devin Vassell")</f>
        <v>Devin Vassell</v>
      </c>
      <c r="B72" s="21" t="str">
        <f>IFERROR(__xludf.DUMMYFUNCTION("""COMPUTED_VALUE"""),"F/C")</f>
        <v>F/C</v>
      </c>
      <c r="E72" s="21" t="str">
        <f>IFERROR(__xludf.DUMMYFUNCTION("""COMPUTED_VALUE"""),"Devin Vassell")</f>
        <v>Devin Vassell</v>
      </c>
    </row>
    <row r="73">
      <c r="A73" s="21" t="str">
        <f>IFERROR(__xludf.DUMMYFUNCTION("""COMPUTED_VALUE"""),"Peyton Watson")</f>
        <v>Peyton Watson</v>
      </c>
      <c r="B73" s="21" t="str">
        <f>IFERROR(__xludf.DUMMYFUNCTION("""COMPUTED_VALUE"""),"F/C")</f>
        <v>F/C</v>
      </c>
      <c r="E73" s="21" t="str">
        <f>IFERROR(__xludf.DUMMYFUNCTION("""COMPUTED_VALUE"""),"Peyton Watson")</f>
        <v>Peyton Watson</v>
      </c>
    </row>
    <row r="74">
      <c r="A74" s="21" t="str">
        <f>IFERROR(__xludf.DUMMYFUNCTION("""COMPUTED_VALUE"""),"Deandre Ayton")</f>
        <v>Deandre Ayton</v>
      </c>
      <c r="B74" s="21" t="str">
        <f>IFERROR(__xludf.DUMMYFUNCTION("""COMPUTED_VALUE"""),"F/C")</f>
        <v>F/C</v>
      </c>
      <c r="E74" s="21" t="str">
        <f>IFERROR(__xludf.DUMMYFUNCTION("""COMPUTED_VALUE"""),"Deandre Ayton")</f>
        <v>Deandre Ayton</v>
      </c>
    </row>
    <row r="75">
      <c r="A75" s="21" t="str">
        <f>IFERROR(__xludf.DUMMYFUNCTION("""COMPUTED_VALUE"""),"Kevin Durant")</f>
        <v>Kevin Durant</v>
      </c>
      <c r="B75" s="21" t="str">
        <f>IFERROR(__xludf.DUMMYFUNCTION("""COMPUTED_VALUE"""),"F/C")</f>
        <v>F/C</v>
      </c>
      <c r="E75" s="21" t="str">
        <f>IFERROR(__xludf.DUMMYFUNCTION("""COMPUTED_VALUE"""),"Kevin Durant")</f>
        <v>Kevin Durant</v>
      </c>
    </row>
    <row r="76">
      <c r="A76" s="21" t="str">
        <f>IFERROR(__xludf.DUMMYFUNCTION("""COMPUTED_VALUE"""),"Mark Williams")</f>
        <v>Mark Williams</v>
      </c>
      <c r="B76" s="21" t="str">
        <f>IFERROR(__xludf.DUMMYFUNCTION("""COMPUTED_VALUE"""),"F/C")</f>
        <v>F/C</v>
      </c>
      <c r="E76" s="21" t="str">
        <f>IFERROR(__xludf.DUMMYFUNCTION("""COMPUTED_VALUE"""),"Mark Williams")</f>
        <v>Mark Williams</v>
      </c>
    </row>
    <row r="77">
      <c r="A77" s="21" t="str">
        <f>IFERROR(__xludf.DUMMYFUNCTION("""COMPUTED_VALUE"""),"Deni Avdija")</f>
        <v>Deni Avdija</v>
      </c>
      <c r="B77" s="21" t="str">
        <f>IFERROR(__xludf.DUMMYFUNCTION("""COMPUTED_VALUE"""),"F/C")</f>
        <v>F/C</v>
      </c>
      <c r="E77" s="21" t="str">
        <f>IFERROR(__xludf.DUMMYFUNCTION("""COMPUTED_VALUE"""),"Deni Avdija")</f>
        <v>Deni Avdija</v>
      </c>
    </row>
    <row r="78">
      <c r="A78" s="21" t="str">
        <f>IFERROR(__xludf.DUMMYFUNCTION("""COMPUTED_VALUE"""),"Jerami Grant")</f>
        <v>Jerami Grant</v>
      </c>
      <c r="B78" s="21" t="str">
        <f>IFERROR(__xludf.DUMMYFUNCTION("""COMPUTED_VALUE"""),"F/C")</f>
        <v>F/C</v>
      </c>
      <c r="E78" s="21" t="str">
        <f>IFERROR(__xludf.DUMMYFUNCTION("""COMPUTED_VALUE"""),"Jerami Grant")</f>
        <v>Jerami Grant</v>
      </c>
    </row>
    <row r="79">
      <c r="A79" s="21" t="str">
        <f>IFERROR(__xludf.DUMMYFUNCTION("""COMPUTED_VALUE"""),"Donovan Clingan")</f>
        <v>Donovan Clingan</v>
      </c>
      <c r="B79" s="21" t="str">
        <f>IFERROR(__xludf.DUMMYFUNCTION("""COMPUTED_VALUE"""),"F/C")</f>
        <v>F/C</v>
      </c>
      <c r="E79" s="21" t="str">
        <f>IFERROR(__xludf.DUMMYFUNCTION("""COMPUTED_VALUE"""),"Donovan Clingan")</f>
        <v>Donovan Clingan</v>
      </c>
    </row>
    <row r="80">
      <c r="A80" s="21" t="str">
        <f>IFERROR(__xludf.DUMMYFUNCTION("""COMPUTED_VALUE"""),"John Collins")</f>
        <v>John Collins</v>
      </c>
      <c r="B80" s="21" t="str">
        <f>IFERROR(__xludf.DUMMYFUNCTION("""COMPUTED_VALUE"""),"F/C")</f>
        <v>F/C</v>
      </c>
      <c r="E80" s="21" t="str">
        <f>IFERROR(__xludf.DUMMYFUNCTION("""COMPUTED_VALUE"""),"John Collins")</f>
        <v>John Collins</v>
      </c>
    </row>
    <row r="81">
      <c r="A81" s="21" t="str">
        <f>IFERROR(__xludf.DUMMYFUNCTION("""COMPUTED_VALUE"""),"Wendell Carter Jr.")</f>
        <v>Wendell Carter Jr.</v>
      </c>
      <c r="B81" s="21" t="str">
        <f>IFERROR(__xludf.DUMMYFUNCTION("""COMPUTED_VALUE"""),"F/C")</f>
        <v>F/C</v>
      </c>
      <c r="E81" s="21" t="str">
        <f>IFERROR(__xludf.DUMMYFUNCTION("""COMPUTED_VALUE"""),"Wendell Carter Jr.")</f>
        <v>Wendell Carter Jr.</v>
      </c>
    </row>
    <row r="82">
      <c r="A82" s="21" t="str">
        <f>IFERROR(__xludf.DUMMYFUNCTION("""COMPUTED_VALUE"""),"Gui Santos")</f>
        <v>Gui Santos</v>
      </c>
      <c r="B82" s="21" t="str">
        <f>IFERROR(__xludf.DUMMYFUNCTION("""COMPUTED_VALUE"""),"F/C")</f>
        <v>F/C</v>
      </c>
      <c r="E82" s="21" t="str">
        <f>IFERROR(__xludf.DUMMYFUNCTION("""COMPUTED_VALUE"""),"Gui Santos")</f>
        <v>Gui Santos</v>
      </c>
    </row>
    <row r="83">
      <c r="A83" s="21" t="str">
        <f>IFERROR(__xludf.DUMMYFUNCTION("""COMPUTED_VALUE"""),"Ryan Kalkbrenner ")</f>
        <v>Ryan Kalkbrenner </v>
      </c>
      <c r="B83" s="21" t="str">
        <f>IFERROR(__xludf.DUMMYFUNCTION("""COMPUTED_VALUE"""),"F/C")</f>
        <v>F/C</v>
      </c>
      <c r="E83" s="21" t="str">
        <f>IFERROR(__xludf.DUMMYFUNCTION("""COMPUTED_VALUE"""),"Ryan Kalkbrenner ")</f>
        <v>Ryan Kalkbrenner </v>
      </c>
    </row>
    <row r="84">
      <c r="A84" s="21" t="str">
        <f>IFERROR(__xludf.DUMMYFUNCTION("""COMPUTED_VALUE"""),"Brandon Ingram")</f>
        <v>Brandon Ingram</v>
      </c>
      <c r="B84" s="21" t="str">
        <f>IFERROR(__xludf.DUMMYFUNCTION("""COMPUTED_VALUE"""),"F/C")</f>
        <v>F/C</v>
      </c>
      <c r="E84" s="21" t="str">
        <f>IFERROR(__xludf.DUMMYFUNCTION("""COMPUTED_VALUE"""),"Brandon Ingram")</f>
        <v>Brandon Ingram</v>
      </c>
    </row>
    <row r="85">
      <c r="A85" s="21" t="str">
        <f>IFERROR(__xludf.DUMMYFUNCTION("""COMPUTED_VALUE"""),"Anthony Edwards")</f>
        <v>Anthony Edwards</v>
      </c>
      <c r="B85" s="21" t="str">
        <f>IFERROR(__xludf.DUMMYFUNCTION("""COMPUTED_VALUE"""),"G")</f>
        <v>G</v>
      </c>
    </row>
    <row r="86">
      <c r="A86" s="21" t="str">
        <f>IFERROR(__xludf.DUMMYFUNCTION("""COMPUTED_VALUE"""),"Cade Cunningham")</f>
        <v>Cade Cunningham</v>
      </c>
      <c r="B86" s="21" t="str">
        <f>IFERROR(__xludf.DUMMYFUNCTION("""COMPUTED_VALUE"""),"G")</f>
        <v>G</v>
      </c>
    </row>
    <row r="87">
      <c r="A87" s="21" t="str">
        <f>IFERROR(__xludf.DUMMYFUNCTION("""COMPUTED_VALUE"""),"Luka Doncic")</f>
        <v>Luka Doncic</v>
      </c>
      <c r="B87" s="21" t="str">
        <f>IFERROR(__xludf.DUMMYFUNCTION("""COMPUTED_VALUE"""),"G")</f>
        <v>G</v>
      </c>
    </row>
    <row r="88">
      <c r="A88" s="21" t="str">
        <f>IFERROR(__xludf.DUMMYFUNCTION("""COMPUTED_VALUE"""),"Jalen Brunson")</f>
        <v>Jalen Brunson</v>
      </c>
      <c r="B88" s="21" t="str">
        <f>IFERROR(__xludf.DUMMYFUNCTION("""COMPUTED_VALUE"""),"G")</f>
        <v>G</v>
      </c>
    </row>
    <row r="89">
      <c r="A89" s="21" t="str">
        <f>IFERROR(__xludf.DUMMYFUNCTION("""COMPUTED_VALUE"""),"Shai Gilgeous-Alexander")</f>
        <v>Shai Gilgeous-Alexander</v>
      </c>
      <c r="B89" s="21" t="str">
        <f>IFERROR(__xludf.DUMMYFUNCTION("""COMPUTED_VALUE"""),"G")</f>
        <v>G</v>
      </c>
    </row>
    <row r="90">
      <c r="A90" s="21" t="str">
        <f>IFERROR(__xludf.DUMMYFUNCTION("""COMPUTED_VALUE"""),"Tyrese Haliburton")</f>
        <v>Tyrese Haliburton</v>
      </c>
      <c r="B90" s="21" t="str">
        <f>IFERROR(__xludf.DUMMYFUNCTION("""COMPUTED_VALUE"""),"G")</f>
        <v>G</v>
      </c>
    </row>
    <row r="91">
      <c r="A91" s="21" t="str">
        <f>IFERROR(__xludf.DUMMYFUNCTION("""COMPUTED_VALUE"""),"Brandin Podziemski")</f>
        <v>Brandin Podziemski</v>
      </c>
      <c r="B91" s="21" t="str">
        <f>IFERROR(__xludf.DUMMYFUNCTION("""COMPUTED_VALUE"""),"G")</f>
        <v>G</v>
      </c>
    </row>
    <row r="92">
      <c r="A92" s="21" t="str">
        <f>IFERROR(__xludf.DUMMYFUNCTION("""COMPUTED_VALUE"""),"Jamal Murray")</f>
        <v>Jamal Murray</v>
      </c>
      <c r="B92" s="21" t="str">
        <f>IFERROR(__xludf.DUMMYFUNCTION("""COMPUTED_VALUE"""),"G")</f>
        <v>G</v>
      </c>
    </row>
    <row r="93">
      <c r="A93" s="21" t="str">
        <f>IFERROR(__xludf.DUMMYFUNCTION("""COMPUTED_VALUE"""),"James Harden")</f>
        <v>James Harden</v>
      </c>
      <c r="B93" s="21" t="str">
        <f>IFERROR(__xludf.DUMMYFUNCTION("""COMPUTED_VALUE"""),"G")</f>
        <v>G</v>
      </c>
    </row>
    <row r="94">
      <c r="A94" s="21" t="str">
        <f>IFERROR(__xludf.DUMMYFUNCTION("""COMPUTED_VALUE"""),"Stephen Curry")</f>
        <v>Stephen Curry</v>
      </c>
      <c r="B94" s="21" t="str">
        <f>IFERROR(__xludf.DUMMYFUNCTION("""COMPUTED_VALUE"""),"G")</f>
        <v>G</v>
      </c>
    </row>
    <row r="95">
      <c r="A95" s="21" t="str">
        <f>IFERROR(__xludf.DUMMYFUNCTION("""COMPUTED_VALUE"""),"Darius Garland")</f>
        <v>Darius Garland</v>
      </c>
      <c r="B95" s="21" t="str">
        <f>IFERROR(__xludf.DUMMYFUNCTION("""COMPUTED_VALUE"""),"G")</f>
        <v>G</v>
      </c>
    </row>
    <row r="96">
      <c r="A96" s="21" t="str">
        <f>IFERROR(__xludf.DUMMYFUNCTION("""COMPUTED_VALUE"""),"Donovan Mitchell")</f>
        <v>Donovan Mitchell</v>
      </c>
      <c r="B96" s="21" t="str">
        <f>IFERROR(__xludf.DUMMYFUNCTION("""COMPUTED_VALUE"""),"G")</f>
        <v>G</v>
      </c>
    </row>
    <row r="97">
      <c r="A97" s="21" t="str">
        <f>IFERROR(__xludf.DUMMYFUNCTION("""COMPUTED_VALUE"""),"Christian Braun")</f>
        <v>Christian Braun</v>
      </c>
      <c r="B97" s="21" t="str">
        <f>IFERROR(__xludf.DUMMYFUNCTION("""COMPUTED_VALUE"""),"G")</f>
        <v>G</v>
      </c>
    </row>
    <row r="98">
      <c r="A98" s="21" t="str">
        <f>IFERROR(__xludf.DUMMYFUNCTION("""COMPUTED_VALUE"""),"Fred VanVleet")</f>
        <v>Fred VanVleet</v>
      </c>
      <c r="B98" s="21" t="str">
        <f>IFERROR(__xludf.DUMMYFUNCTION("""COMPUTED_VALUE"""),"G")</f>
        <v>G</v>
      </c>
    </row>
    <row r="99">
      <c r="A99" s="21" t="str">
        <f>IFERROR(__xludf.DUMMYFUNCTION("""COMPUTED_VALUE"""),"Derrick White")</f>
        <v>Derrick White</v>
      </c>
      <c r="B99" s="21" t="str">
        <f>IFERROR(__xludf.DUMMYFUNCTION("""COMPUTED_VALUE"""),"G")</f>
        <v>G</v>
      </c>
    </row>
    <row r="100">
      <c r="A100" s="21" t="str">
        <f>IFERROR(__xludf.DUMMYFUNCTION("""COMPUTED_VALUE"""),"Mikal Bridges")</f>
        <v>Mikal Bridges</v>
      </c>
      <c r="B100" s="21" t="str">
        <f>IFERROR(__xludf.DUMMYFUNCTION("""COMPUTED_VALUE"""),"G")</f>
        <v>G</v>
      </c>
    </row>
    <row r="101">
      <c r="A101" s="21" t="str">
        <f>IFERROR(__xludf.DUMMYFUNCTION("""COMPUTED_VALUE"""),"Ja Morant")</f>
        <v>Ja Morant</v>
      </c>
      <c r="B101" s="21" t="str">
        <f>IFERROR(__xludf.DUMMYFUNCTION("""COMPUTED_VALUE"""),"G")</f>
        <v>G</v>
      </c>
    </row>
    <row r="102">
      <c r="A102" s="21" t="str">
        <f>IFERROR(__xludf.DUMMYFUNCTION("""COMPUTED_VALUE"""),"Jalen Green")</f>
        <v>Jalen Green</v>
      </c>
      <c r="B102" s="21" t="str">
        <f>IFERROR(__xludf.DUMMYFUNCTION("""COMPUTED_VALUE"""),"G")</f>
        <v>G</v>
      </c>
    </row>
    <row r="103">
      <c r="A103" s="21" t="str">
        <f>IFERROR(__xludf.DUMMYFUNCTION("""COMPUTED_VALUE"""),"Tyler Herro")</f>
        <v>Tyler Herro</v>
      </c>
      <c r="B103" s="21" t="str">
        <f>IFERROR(__xludf.DUMMYFUNCTION("""COMPUTED_VALUE"""),"G")</f>
        <v>G</v>
      </c>
    </row>
    <row r="104">
      <c r="A104" s="21" t="str">
        <f>IFERROR(__xludf.DUMMYFUNCTION("""COMPUTED_VALUE"""),"Austin Reaves")</f>
        <v>Austin Reaves</v>
      </c>
      <c r="B104" s="21" t="str">
        <f>IFERROR(__xludf.DUMMYFUNCTION("""COMPUTED_VALUE"""),"G")</f>
        <v>G</v>
      </c>
    </row>
    <row r="105">
      <c r="A105" s="21" t="str">
        <f>IFERROR(__xludf.DUMMYFUNCTION("""COMPUTED_VALUE"""),"Donte DiVincenzo ")</f>
        <v>Donte DiVincenzo </v>
      </c>
      <c r="B105" s="21" t="str">
        <f>IFERROR(__xludf.DUMMYFUNCTION("""COMPUTED_VALUE"""),"G")</f>
        <v>G</v>
      </c>
    </row>
    <row r="106">
      <c r="A106" s="21" t="str">
        <f>IFERROR(__xludf.DUMMYFUNCTION("""COMPUTED_VALUE"""),"Ty Jerome")</f>
        <v>Ty Jerome</v>
      </c>
      <c r="B106" s="21" t="str">
        <f>IFERROR(__xludf.DUMMYFUNCTION("""COMPUTED_VALUE"""),"G")</f>
        <v>G</v>
      </c>
    </row>
    <row r="107">
      <c r="A107" s="21" t="str">
        <f>IFERROR(__xludf.DUMMYFUNCTION("""COMPUTED_VALUE"""),"Russell Westbrook")</f>
        <v>Russell Westbrook</v>
      </c>
      <c r="B107" s="21" t="str">
        <f>IFERROR(__xludf.DUMMYFUNCTION("""COMPUTED_VALUE"""),"G")</f>
        <v>G</v>
      </c>
    </row>
    <row r="108">
      <c r="A108" s="21" t="str">
        <f>IFERROR(__xludf.DUMMYFUNCTION("""COMPUTED_VALUE"""),"Damian Lillard")</f>
        <v>Damian Lillard</v>
      </c>
      <c r="B108" s="21" t="str">
        <f>IFERROR(__xludf.DUMMYFUNCTION("""COMPUTED_VALUE"""),"G")</f>
        <v>G</v>
      </c>
    </row>
    <row r="109">
      <c r="A109" s="21" t="str">
        <f>IFERROR(__xludf.DUMMYFUNCTION("""COMPUTED_VALUE"""),"Andrew Nembhard")</f>
        <v>Andrew Nembhard</v>
      </c>
      <c r="B109" s="21" t="str">
        <f>IFERROR(__xludf.DUMMYFUNCTION("""COMPUTED_VALUE"""),"G")</f>
        <v>G</v>
      </c>
    </row>
    <row r="110">
      <c r="A110" s="21" t="str">
        <f>IFERROR(__xludf.DUMMYFUNCTION("""COMPUTED_VALUE"""),"Malik Beasley")</f>
        <v>Malik Beasley</v>
      </c>
      <c r="B110" s="21" t="str">
        <f>IFERROR(__xludf.DUMMYFUNCTION("""COMPUTED_VALUE"""),"G")</f>
        <v>G</v>
      </c>
    </row>
    <row r="111">
      <c r="A111" s="21" t="str">
        <f>IFERROR(__xludf.DUMMYFUNCTION("""COMPUTED_VALUE"""),"Davion Mitchell")</f>
        <v>Davion Mitchell</v>
      </c>
      <c r="B111" s="21" t="str">
        <f>IFERROR(__xludf.DUMMYFUNCTION("""COMPUTED_VALUE"""),"G")</f>
        <v>G</v>
      </c>
    </row>
    <row r="112">
      <c r="A112" s="21" t="str">
        <f>IFERROR(__xludf.DUMMYFUNCTION("""COMPUTED_VALUE"""),"Payton Pritchard")</f>
        <v>Payton Pritchard</v>
      </c>
      <c r="B112" s="21" t="str">
        <f>IFERROR(__xludf.DUMMYFUNCTION("""COMPUTED_VALUE"""),"G")</f>
        <v>G</v>
      </c>
    </row>
    <row r="113">
      <c r="A113" s="21" t="str">
        <f>IFERROR(__xludf.DUMMYFUNCTION("""COMPUTED_VALUE"""),"Tim Hardaway Jr")</f>
        <v>Tim Hardaway Jr</v>
      </c>
      <c r="B113" s="21" t="str">
        <f>IFERROR(__xludf.DUMMYFUNCTION("""COMPUTED_VALUE"""),"G")</f>
        <v>G</v>
      </c>
    </row>
    <row r="114">
      <c r="A114" s="21" t="str">
        <f>IFERROR(__xludf.DUMMYFUNCTION("""COMPUTED_VALUE"""),"Kris Dunn")</f>
        <v>Kris Dunn</v>
      </c>
      <c r="B114" s="21" t="str">
        <f>IFERROR(__xludf.DUMMYFUNCTION("""COMPUTED_VALUE"""),"G")</f>
        <v>G</v>
      </c>
    </row>
    <row r="115">
      <c r="A115" s="21" t="str">
        <f>IFERROR(__xludf.DUMMYFUNCTION("""COMPUTED_VALUE"""),"Gary Payton II")</f>
        <v>Gary Payton II</v>
      </c>
      <c r="B115" s="21" t="str">
        <f>IFERROR(__xludf.DUMMYFUNCTION("""COMPUTED_VALUE"""),"G")</f>
        <v>G</v>
      </c>
    </row>
    <row r="116">
      <c r="A116" s="21" t="str">
        <f>IFERROR(__xludf.DUMMYFUNCTION("""COMPUTED_VALUE"""),"Benedict Mathurin")</f>
        <v>Benedict Mathurin</v>
      </c>
      <c r="B116" s="21" t="str">
        <f>IFERROR(__xludf.DUMMYFUNCTION("""COMPUTED_VALUE"""),"G")</f>
        <v>G</v>
      </c>
    </row>
    <row r="117">
      <c r="A117" s="21" t="str">
        <f>IFERROR(__xludf.DUMMYFUNCTION("""COMPUTED_VALUE"""),"Cason Wallace")</f>
        <v>Cason Wallace</v>
      </c>
      <c r="B117" s="21" t="str">
        <f>IFERROR(__xludf.DUMMYFUNCTION("""COMPUTED_VALUE"""),"G")</f>
        <v>G</v>
      </c>
    </row>
    <row r="118">
      <c r="A118" s="21" t="str">
        <f>IFERROR(__xludf.DUMMYFUNCTION("""COMPUTED_VALUE"""),"Jrue Holiday")</f>
        <v>Jrue Holiday</v>
      </c>
      <c r="B118" s="21" t="str">
        <f>IFERROR(__xludf.DUMMYFUNCTION("""COMPUTED_VALUE"""),"G")</f>
        <v>G</v>
      </c>
    </row>
    <row r="119">
      <c r="A119" s="21" t="str">
        <f>IFERROR(__xludf.DUMMYFUNCTION("""COMPUTED_VALUE"""),"Nickeil Alexander-Walker")</f>
        <v>Nickeil Alexander-Walker</v>
      </c>
      <c r="B119" s="21" t="str">
        <f>IFERROR(__xludf.DUMMYFUNCTION("""COMPUTED_VALUE"""),"G")</f>
        <v>G</v>
      </c>
    </row>
    <row r="120">
      <c r="A120" s="21" t="str">
        <f>IFERROR(__xludf.DUMMYFUNCTION("""COMPUTED_VALUE"""),"Daniss Jenkins")</f>
        <v>Daniss Jenkins</v>
      </c>
      <c r="B120" s="21" t="str">
        <f>IFERROR(__xludf.DUMMYFUNCTION("""COMPUTED_VALUE"""),"G")</f>
        <v>G</v>
      </c>
    </row>
    <row r="121">
      <c r="A121" s="21" t="str">
        <f>IFERROR(__xludf.DUMMYFUNCTION("""COMPUTED_VALUE"""),"Caris LeVert")</f>
        <v>Caris LeVert</v>
      </c>
      <c r="B121" s="21" t="str">
        <f>IFERROR(__xludf.DUMMYFUNCTION("""COMPUTED_VALUE"""),"G")</f>
        <v>G</v>
      </c>
    </row>
    <row r="122">
      <c r="A122" s="21" t="str">
        <f>IFERROR(__xludf.DUMMYFUNCTION("""COMPUTED_VALUE"""),"Kevin Huerter")</f>
        <v>Kevin Huerter</v>
      </c>
      <c r="B122" s="21" t="str">
        <f>IFERROR(__xludf.DUMMYFUNCTION("""COMPUTED_VALUE"""),"G")</f>
        <v>G</v>
      </c>
    </row>
    <row r="123">
      <c r="A123" s="21" t="str">
        <f>IFERROR(__xludf.DUMMYFUNCTION("""COMPUTED_VALUE"""),"Duncan Robinson")</f>
        <v>Duncan Robinson</v>
      </c>
      <c r="B123" s="21" t="str">
        <f>IFERROR(__xludf.DUMMYFUNCTION("""COMPUTED_VALUE"""),"G")</f>
        <v>G</v>
      </c>
    </row>
    <row r="124">
      <c r="A124" s="21" t="str">
        <f>IFERROR(__xludf.DUMMYFUNCTION("""COMPUTED_VALUE"""),"Jose Alverado")</f>
        <v>Jose Alverado</v>
      </c>
      <c r="B124" s="21" t="str">
        <f>IFERROR(__xludf.DUMMYFUNCTION("""COMPUTED_VALUE"""),"G")</f>
        <v>G</v>
      </c>
    </row>
    <row r="125">
      <c r="A125" s="21" t="str">
        <f>IFERROR(__xludf.DUMMYFUNCTION("""COMPUTED_VALUE"""),"Landry Shamet")</f>
        <v>Landry Shamet</v>
      </c>
      <c r="B125" s="21" t="str">
        <f>IFERROR(__xludf.DUMMYFUNCTION("""COMPUTED_VALUE"""),"G")</f>
        <v>G</v>
      </c>
    </row>
    <row r="126">
      <c r="A126" s="21" t="str">
        <f>IFERROR(__xludf.DUMMYFUNCTION("""COMPUTED_VALUE"""),"CJ McCollum")</f>
        <v>CJ McCollum</v>
      </c>
      <c r="B126" s="21" t="str">
        <f>IFERROR(__xludf.DUMMYFUNCTION("""COMPUTED_VALUE"""),"G")</f>
        <v>G</v>
      </c>
    </row>
    <row r="127">
      <c r="A127" s="21" t="str">
        <f>IFERROR(__xludf.DUMMYFUNCTION("""COMPUTED_VALUE"""),"Immanuel Quickley")</f>
        <v>Immanuel Quickley</v>
      </c>
      <c r="B127" s="21" t="str">
        <f>IFERROR(__xludf.DUMMYFUNCTION("""COMPUTED_VALUE"""),"G")</f>
        <v>G</v>
      </c>
    </row>
    <row r="128">
      <c r="A128" s="21" t="str">
        <f>IFERROR(__xludf.DUMMYFUNCTION("""COMPUTED_VALUE"""),"Desmond Bane")</f>
        <v>Desmond Bane</v>
      </c>
      <c r="B128" s="21" t="str">
        <f>IFERROR(__xludf.DUMMYFUNCTION("""COMPUTED_VALUE"""),"G")</f>
        <v>G</v>
      </c>
    </row>
    <row r="129">
      <c r="A129" s="21" t="str">
        <f>IFERROR(__xludf.DUMMYFUNCTION("""COMPUTED_VALUE"""),"Anthony Black")</f>
        <v>Anthony Black</v>
      </c>
      <c r="B129" s="21" t="str">
        <f>IFERROR(__xludf.DUMMYFUNCTION("""COMPUTED_VALUE"""),"G")</f>
        <v>G</v>
      </c>
    </row>
    <row r="130">
      <c r="A130" s="21" t="str">
        <f>IFERROR(__xludf.DUMMYFUNCTION("""COMPUTED_VALUE"""),"Tyrese Maxey")</f>
        <v>Tyrese Maxey</v>
      </c>
      <c r="B130" s="21" t="str">
        <f>IFERROR(__xludf.DUMMYFUNCTION("""COMPUTED_VALUE"""),"G")</f>
        <v>G</v>
      </c>
    </row>
    <row r="131">
      <c r="A131" s="21" t="str">
        <f>IFERROR(__xludf.DUMMYFUNCTION("""COMPUTED_VALUE"""),"VJ Edgecomb")</f>
        <v>VJ Edgecomb</v>
      </c>
      <c r="B131" s="21" t="str">
        <f>IFERROR(__xludf.DUMMYFUNCTION("""COMPUTED_VALUE"""),"G")</f>
        <v>G</v>
      </c>
    </row>
    <row r="132">
      <c r="A132" s="21" t="str">
        <f>IFERROR(__xludf.DUMMYFUNCTION("""COMPUTED_VALUE"""),"LaMelo Ball")</f>
        <v>LaMelo Ball</v>
      </c>
      <c r="B132" s="21" t="str">
        <f>IFERROR(__xludf.DUMMYFUNCTION("""COMPUTED_VALUE"""),"G")</f>
        <v>G</v>
      </c>
    </row>
    <row r="133">
      <c r="A133" s="21" t="str">
        <f>IFERROR(__xludf.DUMMYFUNCTION("""COMPUTED_VALUE"""),"Coby White")</f>
        <v>Coby White</v>
      </c>
      <c r="B133" s="21" t="str">
        <f>IFERROR(__xludf.DUMMYFUNCTION("""COMPUTED_VALUE"""),"G")</f>
        <v>G</v>
      </c>
    </row>
    <row r="134">
      <c r="A134" s="21" t="str">
        <f>IFERROR(__xludf.DUMMYFUNCTION("""COMPUTED_VALUE"""),"Kon Knueppel")</f>
        <v>Kon Knueppel</v>
      </c>
      <c r="B134" s="21" t="str">
        <f>IFERROR(__xludf.DUMMYFUNCTION("""COMPUTED_VALUE"""),"G")</f>
        <v>G</v>
      </c>
    </row>
    <row r="135">
      <c r="A135" s="21" t="str">
        <f>IFERROR(__xludf.DUMMYFUNCTION("""COMPUTED_VALUE"""),"Norman Powell")</f>
        <v>Norman Powell</v>
      </c>
      <c r="B135" s="21" t="str">
        <f>IFERROR(__xludf.DUMMYFUNCTION("""COMPUTED_VALUE"""),"G")</f>
        <v>G</v>
      </c>
    </row>
    <row r="136">
      <c r="A136" s="21" t="str">
        <f>IFERROR(__xludf.DUMMYFUNCTION("""COMPUTED_VALUE"""),"Ajay Mitchell")</f>
        <v>Ajay Mitchell</v>
      </c>
      <c r="B136" s="21" t="str">
        <f>IFERROR(__xludf.DUMMYFUNCTION("""COMPUTED_VALUE"""),"G")</f>
        <v>G</v>
      </c>
    </row>
    <row r="137">
      <c r="A137" s="21" t="str">
        <f>IFERROR(__xludf.DUMMYFUNCTION("""COMPUTED_VALUE"""),"De'Arron Fox")</f>
        <v>De'Arron Fox</v>
      </c>
      <c r="B137" s="21" t="str">
        <f>IFERROR(__xludf.DUMMYFUNCTION("""COMPUTED_VALUE"""),"G")</f>
        <v>G</v>
      </c>
    </row>
    <row r="138">
      <c r="A138" s="21" t="str">
        <f>IFERROR(__xludf.DUMMYFUNCTION("""COMPUTED_VALUE"""),"Dylan Harper")</f>
        <v>Dylan Harper</v>
      </c>
      <c r="B138" s="21" t="str">
        <f>IFERROR(__xludf.DUMMYFUNCTION("""COMPUTED_VALUE"""),"G")</f>
        <v>G</v>
      </c>
    </row>
    <row r="139">
      <c r="A139" s="21" t="str">
        <f>IFERROR(__xludf.DUMMYFUNCTION("""COMPUTED_VALUE"""),"Stephon Castle")</f>
        <v>Stephon Castle</v>
      </c>
      <c r="B139" s="21" t="str">
        <f>IFERROR(__xludf.DUMMYFUNCTION("""COMPUTED_VALUE"""),"G")</f>
        <v>G</v>
      </c>
    </row>
    <row r="140">
      <c r="A140" s="21" t="str">
        <f>IFERROR(__xludf.DUMMYFUNCTION("""COMPUTED_VALUE"""),"Keldon Johnson")</f>
        <v>Keldon Johnson</v>
      </c>
      <c r="B140" s="21" t="str">
        <f>IFERROR(__xludf.DUMMYFUNCTION("""COMPUTED_VALUE"""),"G")</f>
        <v>G</v>
      </c>
    </row>
    <row r="141">
      <c r="A141" s="21" t="str">
        <f>IFERROR(__xludf.DUMMYFUNCTION("""COMPUTED_VALUE"""),"Bruce Brown")</f>
        <v>Bruce Brown</v>
      </c>
      <c r="B141" s="21" t="str">
        <f>IFERROR(__xludf.DUMMYFUNCTION("""COMPUTED_VALUE"""),"G")</f>
        <v>G</v>
      </c>
    </row>
    <row r="142">
      <c r="A142" s="21" t="str">
        <f>IFERROR(__xludf.DUMMYFUNCTION("""COMPUTED_VALUE"""),"Cameron Johnson")</f>
        <v>Cameron Johnson</v>
      </c>
      <c r="B142" s="21" t="str">
        <f>IFERROR(__xludf.DUMMYFUNCTION("""COMPUTED_VALUE"""),"G")</f>
        <v>G</v>
      </c>
    </row>
    <row r="143">
      <c r="A143" s="21" t="str">
        <f>IFERROR(__xludf.DUMMYFUNCTION("""COMPUTED_VALUE"""),"Luke Kennard")</f>
        <v>Luke Kennard</v>
      </c>
      <c r="B143" s="21" t="str">
        <f>IFERROR(__xludf.DUMMYFUNCTION("""COMPUTED_VALUE"""),"G")</f>
        <v>G</v>
      </c>
    </row>
    <row r="144">
      <c r="A144" s="21" t="str">
        <f>IFERROR(__xludf.DUMMYFUNCTION("""COMPUTED_VALUE"""),"Marcus Smart")</f>
        <v>Marcus Smart</v>
      </c>
      <c r="B144" s="21" t="str">
        <f>IFERROR(__xludf.DUMMYFUNCTION("""COMPUTED_VALUE"""),"G")</f>
        <v>G</v>
      </c>
    </row>
    <row r="145">
      <c r="A145" s="21" t="str">
        <f>IFERROR(__xludf.DUMMYFUNCTION("""COMPUTED_VALUE"""),"Ayo Dousunmu")</f>
        <v>Ayo Dousunmu</v>
      </c>
      <c r="B145" s="21" t="str">
        <f>IFERROR(__xludf.DUMMYFUNCTION("""COMPUTED_VALUE"""),"G")</f>
        <v>G</v>
      </c>
    </row>
    <row r="146">
      <c r="A146" s="21" t="str">
        <f>IFERROR(__xludf.DUMMYFUNCTION("""COMPUTED_VALUE"""),"Devin Booker")</f>
        <v>Devin Booker</v>
      </c>
      <c r="B146" s="21" t="str">
        <f>IFERROR(__xludf.DUMMYFUNCTION("""COMPUTED_VALUE"""),"G")</f>
        <v>G</v>
      </c>
    </row>
    <row r="147">
      <c r="A147" s="21" t="str">
        <f>IFERROR(__xludf.DUMMYFUNCTION("""COMPUTED_VALUE"""),"Collin Gillespie")</f>
        <v>Collin Gillespie</v>
      </c>
      <c r="B147" s="21" t="str">
        <f>IFERROR(__xludf.DUMMYFUNCTION("""COMPUTED_VALUE"""),"G")</f>
        <v>G</v>
      </c>
    </row>
    <row r="148">
      <c r="A148" s="21" t="str">
        <f>IFERROR(__xludf.DUMMYFUNCTION("""COMPUTED_VALUE"""),"Scoot Henderson")</f>
        <v>Scoot Henderson</v>
      </c>
      <c r="B148" s="21" t="str">
        <f>IFERROR(__xludf.DUMMYFUNCTION("""COMPUTED_VALUE"""),"G")</f>
        <v>G</v>
      </c>
    </row>
    <row r="149">
      <c r="A149" s="21" t="str">
        <f>IFERROR(__xludf.DUMMYFUNCTION("""COMPUTED_VALUE"""),"Shaedon Sharpe")</f>
        <v>Shaedon Sharpe</v>
      </c>
      <c r="B149" s="21" t="str">
        <f>IFERROR(__xludf.DUMMYFUNCTION("""COMPUTED_VALUE"""),"G")</f>
        <v>G</v>
      </c>
    </row>
    <row r="150">
      <c r="A150" s="21" t="str">
        <f>IFERROR(__xludf.DUMMYFUNCTION("""COMPUTED_VALUE"""),"Bennedict Mathurin")</f>
        <v>Bennedict Mathurin</v>
      </c>
      <c r="B150" s="21" t="str">
        <f>IFERROR(__xludf.DUMMYFUNCTION("""COMPUTED_VALUE"""),"G")</f>
        <v>G</v>
      </c>
    </row>
    <row r="151">
      <c r="A151" s="21" t="str">
        <f>IFERROR(__xludf.DUMMYFUNCTION("""COMPUTED_VALUE"""),"Jalen Suggs")</f>
        <v>Jalen Suggs</v>
      </c>
      <c r="B151" s="21" t="str">
        <f>IFERROR(__xludf.DUMMYFUNCTION("""COMPUTED_VALUE"""),"G")</f>
        <v>G</v>
      </c>
    </row>
    <row r="152">
      <c r="A152" s="21" t="str">
        <f>IFERROR(__xludf.DUMMYFUNCTION("""COMPUTED_VALUE"""),"RJ Barrett")</f>
        <v>RJ Barrett</v>
      </c>
      <c r="B152" s="21" t="str">
        <f>IFERROR(__xludf.DUMMYFUNCTION("""COMPUTED_VALUE"""),"G")</f>
        <v>G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134.7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93</v>
      </c>
      <c r="C3" s="60">
        <v>8.0</v>
      </c>
      <c r="D3" s="60">
        <v>1.0</v>
      </c>
      <c r="E3" s="60">
        <v>2.0</v>
      </c>
      <c r="F3" s="60">
        <v>1.0</v>
      </c>
      <c r="G3" s="60">
        <v>0.0</v>
      </c>
      <c r="H3" s="71">
        <v>1.0</v>
      </c>
      <c r="I3" s="72">
        <f t="shared" ref="I3:I7" si="1">sum(C3+1.2*D3+1.5*E3+2*F3+2*G3)-H3</f>
        <v>13.2</v>
      </c>
    </row>
    <row r="4">
      <c r="A4" s="76" t="s">
        <v>215</v>
      </c>
      <c r="B4" s="76" t="s">
        <v>97</v>
      </c>
      <c r="C4" s="60">
        <v>8.0</v>
      </c>
      <c r="D4" s="60">
        <v>3.0</v>
      </c>
      <c r="E4" s="60">
        <v>0.0</v>
      </c>
      <c r="F4" s="60">
        <v>0.0</v>
      </c>
      <c r="G4" s="60">
        <v>1.0</v>
      </c>
      <c r="H4" s="71">
        <v>4.0</v>
      </c>
      <c r="I4" s="72">
        <f t="shared" si="1"/>
        <v>9.6</v>
      </c>
    </row>
    <row r="5">
      <c r="A5" s="76" t="s">
        <v>216</v>
      </c>
      <c r="B5" s="70" t="s">
        <v>66</v>
      </c>
      <c r="C5" s="60">
        <v>29.0</v>
      </c>
      <c r="D5" s="60">
        <v>14.0</v>
      </c>
      <c r="E5" s="60">
        <v>8.0</v>
      </c>
      <c r="F5" s="60">
        <v>2.0</v>
      </c>
      <c r="G5" s="60">
        <v>1.0</v>
      </c>
      <c r="H5" s="71">
        <v>1.0</v>
      </c>
      <c r="I5" s="72">
        <f t="shared" si="1"/>
        <v>62.8</v>
      </c>
    </row>
    <row r="6">
      <c r="A6" s="76" t="s">
        <v>216</v>
      </c>
      <c r="B6" s="76" t="s">
        <v>101</v>
      </c>
      <c r="C6" s="60">
        <v>19.0</v>
      </c>
      <c r="D6" s="60">
        <v>11.0</v>
      </c>
      <c r="E6" s="60">
        <v>1.0</v>
      </c>
      <c r="F6" s="60">
        <v>1.0</v>
      </c>
      <c r="G6" s="60">
        <v>1.0</v>
      </c>
      <c r="H6" s="71">
        <v>0.0</v>
      </c>
      <c r="I6" s="72">
        <f t="shared" si="1"/>
        <v>37.7</v>
      </c>
    </row>
    <row r="7">
      <c r="A7" s="76" t="s">
        <v>216</v>
      </c>
      <c r="B7" s="36" t="s">
        <v>134</v>
      </c>
      <c r="C7" s="77">
        <v>10.0</v>
      </c>
      <c r="D7" s="77">
        <v>2.0</v>
      </c>
      <c r="E7" s="77">
        <v>0.0</v>
      </c>
      <c r="F7" s="77">
        <v>0.0</v>
      </c>
      <c r="G7" s="77">
        <v>0.0</v>
      </c>
      <c r="H7" s="78">
        <v>1.0</v>
      </c>
      <c r="I7" s="72">
        <f t="shared" si="1"/>
        <v>11.4</v>
      </c>
    </row>
    <row r="8">
      <c r="A8" s="96"/>
      <c r="B8" s="102" t="s">
        <v>217</v>
      </c>
      <c r="C8" s="103">
        <f>SUM(C3:C7)</f>
        <v>74</v>
      </c>
      <c r="D8" s="103">
        <f>SUM(D3:D7)*1.2</f>
        <v>37.2</v>
      </c>
      <c r="E8" s="103">
        <f>SUM(E3:E7)*1.5</f>
        <v>16.5</v>
      </c>
      <c r="F8" s="103">
        <f t="shared" ref="F8:G8" si="2">SUM(F3:F7)*2</f>
        <v>8</v>
      </c>
      <c r="G8" s="103">
        <f t="shared" si="2"/>
        <v>6</v>
      </c>
      <c r="H8" s="104">
        <f>SUM(H3:H7) *-1</f>
        <v>-7</v>
      </c>
      <c r="I8" s="105">
        <f>SUM(C8:H8)</f>
        <v>134.7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>
        <f>I17</f>
        <v>142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32.0</v>
      </c>
      <c r="D12" s="60">
        <v>3.0</v>
      </c>
      <c r="E12" s="60">
        <v>6.0</v>
      </c>
      <c r="F12" s="60">
        <v>0.0</v>
      </c>
      <c r="G12" s="60">
        <v>0.0</v>
      </c>
      <c r="H12" s="71">
        <v>2.0</v>
      </c>
      <c r="I12" s="73">
        <f t="shared" ref="I12:I16" si="3">sum(C12+1.2*D12+1.5*E12+2*F12+2*G12)-H12</f>
        <v>42.6</v>
      </c>
    </row>
    <row r="13">
      <c r="A13" s="76" t="s">
        <v>215</v>
      </c>
      <c r="B13" s="76" t="s">
        <v>129</v>
      </c>
      <c r="C13" s="60">
        <v>4.0</v>
      </c>
      <c r="D13" s="60">
        <v>4.0</v>
      </c>
      <c r="E13" s="60">
        <v>3.0</v>
      </c>
      <c r="F13" s="60">
        <v>1.0</v>
      </c>
      <c r="G13" s="60">
        <v>0.0</v>
      </c>
      <c r="H13" s="71">
        <v>2.0</v>
      </c>
      <c r="I13" s="73">
        <f t="shared" si="3"/>
        <v>13.3</v>
      </c>
    </row>
    <row r="14">
      <c r="A14" s="76" t="s">
        <v>216</v>
      </c>
      <c r="B14" s="76" t="s">
        <v>70</v>
      </c>
      <c r="C14" s="60">
        <v>21.0</v>
      </c>
      <c r="D14" s="60">
        <v>12.0</v>
      </c>
      <c r="E14" s="60">
        <v>1.0</v>
      </c>
      <c r="F14" s="60">
        <v>1.0</v>
      </c>
      <c r="G14" s="60">
        <v>0.0</v>
      </c>
      <c r="H14" s="71">
        <v>3.0</v>
      </c>
      <c r="I14" s="73">
        <f t="shared" si="3"/>
        <v>35.9</v>
      </c>
    </row>
    <row r="15">
      <c r="A15" s="76" t="s">
        <v>216</v>
      </c>
      <c r="B15" s="76" t="s">
        <v>89</v>
      </c>
      <c r="C15" s="60">
        <v>10.0</v>
      </c>
      <c r="D15" s="60">
        <v>11.0</v>
      </c>
      <c r="E15" s="60">
        <v>11.0</v>
      </c>
      <c r="F15" s="60">
        <v>0.0</v>
      </c>
      <c r="G15" s="60">
        <v>0.0</v>
      </c>
      <c r="H15" s="71">
        <v>2.0</v>
      </c>
      <c r="I15" s="73">
        <f t="shared" si="3"/>
        <v>37.7</v>
      </c>
    </row>
    <row r="16">
      <c r="A16" s="76" t="s">
        <v>216</v>
      </c>
      <c r="B16" s="70" t="s">
        <v>138</v>
      </c>
      <c r="C16" s="77">
        <v>5.0</v>
      </c>
      <c r="D16" s="77">
        <v>5.0</v>
      </c>
      <c r="E16" s="77">
        <v>1.0</v>
      </c>
      <c r="F16" s="77">
        <v>0.0</v>
      </c>
      <c r="G16" s="77">
        <v>1.0</v>
      </c>
      <c r="H16" s="78">
        <v>2.0</v>
      </c>
      <c r="I16" s="73">
        <f t="shared" si="3"/>
        <v>12.5</v>
      </c>
    </row>
    <row r="17">
      <c r="A17" s="96"/>
      <c r="B17" s="102" t="s">
        <v>217</v>
      </c>
      <c r="C17" s="103">
        <f>SUM(C12:C16)</f>
        <v>72</v>
      </c>
      <c r="D17" s="103">
        <f>SUM(D12:D16)*1.2</f>
        <v>42</v>
      </c>
      <c r="E17" s="103">
        <f>SUM(E12:E16)*1.5</f>
        <v>33</v>
      </c>
      <c r="F17" s="103">
        <f t="shared" ref="F17:G17" si="4">SUM(F12:F16)*2</f>
        <v>4</v>
      </c>
      <c r="G17" s="103">
        <f t="shared" si="4"/>
        <v>2</v>
      </c>
      <c r="H17" s="104">
        <f>SUM(H12:H16) *-1</f>
        <v>-11</v>
      </c>
      <c r="I17" s="105">
        <f>SUM(C17:H17)</f>
        <v>142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166.5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84</v>
      </c>
      <c r="C21" s="60">
        <v>23.0</v>
      </c>
      <c r="D21" s="60">
        <v>6.0</v>
      </c>
      <c r="E21" s="60">
        <v>6.0</v>
      </c>
      <c r="F21" s="60">
        <v>0.0</v>
      </c>
      <c r="G21" s="60">
        <v>0.0</v>
      </c>
      <c r="H21" s="71">
        <v>2.0</v>
      </c>
      <c r="I21" s="73">
        <f t="shared" ref="I21:I25" si="5">sum(C21+1.2*D21+1.5*E21+2*F21+2*G21)-H21</f>
        <v>37.2</v>
      </c>
    </row>
    <row r="22">
      <c r="A22" s="76" t="s">
        <v>215</v>
      </c>
      <c r="B22" s="36" t="s">
        <v>100</v>
      </c>
      <c r="C22" s="60">
        <v>22.0</v>
      </c>
      <c r="D22" s="60">
        <v>4.0</v>
      </c>
      <c r="E22" s="60">
        <v>3.0</v>
      </c>
      <c r="F22" s="60">
        <v>1.0</v>
      </c>
      <c r="G22" s="60">
        <v>2.0</v>
      </c>
      <c r="H22" s="71">
        <v>2.0</v>
      </c>
      <c r="I22" s="73">
        <f t="shared" si="5"/>
        <v>35.3</v>
      </c>
    </row>
    <row r="23">
      <c r="A23" s="76" t="s">
        <v>216</v>
      </c>
      <c r="B23" s="76" t="s">
        <v>80</v>
      </c>
      <c r="C23" s="60">
        <v>6.0</v>
      </c>
      <c r="D23" s="60">
        <v>7.0</v>
      </c>
      <c r="E23" s="60">
        <v>10.0</v>
      </c>
      <c r="F23" s="60">
        <v>3.0</v>
      </c>
      <c r="G23" s="60">
        <v>1.0</v>
      </c>
      <c r="H23" s="71">
        <v>3.0</v>
      </c>
      <c r="I23" s="73">
        <f t="shared" si="5"/>
        <v>34.4</v>
      </c>
    </row>
    <row r="24">
      <c r="A24" s="76" t="s">
        <v>216</v>
      </c>
      <c r="B24" s="36" t="s">
        <v>82</v>
      </c>
      <c r="C24" s="60">
        <v>23.0</v>
      </c>
      <c r="D24" s="60">
        <v>9.0</v>
      </c>
      <c r="E24" s="60">
        <v>2.0</v>
      </c>
      <c r="F24" s="60">
        <v>2.0</v>
      </c>
      <c r="G24" s="60">
        <v>2.0</v>
      </c>
      <c r="H24" s="71">
        <v>3.0</v>
      </c>
      <c r="I24" s="73">
        <f t="shared" si="5"/>
        <v>41.8</v>
      </c>
    </row>
    <row r="25">
      <c r="A25" s="76" t="s">
        <v>216</v>
      </c>
      <c r="B25" s="76" t="s">
        <v>85</v>
      </c>
      <c r="C25" s="60">
        <v>10.0</v>
      </c>
      <c r="D25" s="60">
        <v>4.0</v>
      </c>
      <c r="E25" s="60">
        <v>0.0</v>
      </c>
      <c r="F25" s="60">
        <v>1.0</v>
      </c>
      <c r="G25" s="60">
        <v>1.0</v>
      </c>
      <c r="H25" s="71">
        <v>1.0</v>
      </c>
      <c r="I25" s="73">
        <f t="shared" si="5"/>
        <v>17.8</v>
      </c>
    </row>
    <row r="26">
      <c r="A26" s="96"/>
      <c r="B26" s="108" t="s">
        <v>217</v>
      </c>
      <c r="C26" s="109">
        <f>SUM(C21:C25)</f>
        <v>84</v>
      </c>
      <c r="D26" s="109">
        <f>SUM(D21:D25)*1.2</f>
        <v>36</v>
      </c>
      <c r="E26" s="109">
        <f>SUM(E21:E25)*1.5</f>
        <v>31.5</v>
      </c>
      <c r="F26" s="109">
        <f t="shared" ref="F26:G26" si="6">SUM(F21:F25)*2</f>
        <v>14</v>
      </c>
      <c r="G26" s="109">
        <f t="shared" si="6"/>
        <v>12</v>
      </c>
      <c r="H26" s="109">
        <f>SUM(H21:H25) *-1</f>
        <v>-11</v>
      </c>
      <c r="I26" s="110">
        <f>SUM(C26:H26)</f>
        <v>166.5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133.8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25.0</v>
      </c>
      <c r="D30" s="60">
        <v>8.0</v>
      </c>
      <c r="E30" s="60">
        <v>7.0</v>
      </c>
      <c r="F30" s="60">
        <v>0.0</v>
      </c>
      <c r="G30" s="60">
        <v>1.0</v>
      </c>
      <c r="H30" s="71">
        <v>5.0</v>
      </c>
      <c r="I30" s="73">
        <f t="shared" ref="I30:I34" si="7">sum(C30+1.2*D30+1.5*E30+2*F30+2*G30)-H30</f>
        <v>42.1</v>
      </c>
    </row>
    <row r="31">
      <c r="A31" s="76" t="s">
        <v>215</v>
      </c>
      <c r="B31" s="36" t="s">
        <v>119</v>
      </c>
      <c r="C31" s="60">
        <v>11.0</v>
      </c>
      <c r="D31" s="60">
        <v>2.0</v>
      </c>
      <c r="E31" s="60">
        <v>4.0</v>
      </c>
      <c r="F31" s="60">
        <v>0.0</v>
      </c>
      <c r="G31" s="60">
        <v>0.0</v>
      </c>
      <c r="H31" s="71">
        <v>0.0</v>
      </c>
      <c r="I31" s="73">
        <f t="shared" si="7"/>
        <v>19.4</v>
      </c>
    </row>
    <row r="32">
      <c r="A32" s="76" t="s">
        <v>216</v>
      </c>
      <c r="B32" s="36" t="s">
        <v>98</v>
      </c>
      <c r="C32" s="60">
        <v>20.0</v>
      </c>
      <c r="D32" s="60">
        <v>6.0</v>
      </c>
      <c r="E32" s="60">
        <v>6.0</v>
      </c>
      <c r="F32" s="60">
        <v>1.0</v>
      </c>
      <c r="G32" s="60">
        <v>1.0</v>
      </c>
      <c r="H32" s="71">
        <v>7.0</v>
      </c>
      <c r="I32" s="73">
        <f t="shared" si="7"/>
        <v>33.2</v>
      </c>
    </row>
    <row r="33">
      <c r="A33" s="76" t="s">
        <v>216</v>
      </c>
      <c r="B33" s="76" t="s">
        <v>58</v>
      </c>
      <c r="C33" s="60">
        <v>5.0</v>
      </c>
      <c r="D33" s="60">
        <v>7.0</v>
      </c>
      <c r="E33" s="60">
        <v>7.0</v>
      </c>
      <c r="F33" s="60">
        <v>1.0</v>
      </c>
      <c r="G33" s="60">
        <v>0.0</v>
      </c>
      <c r="H33" s="71">
        <v>1.0</v>
      </c>
      <c r="I33" s="73">
        <f t="shared" si="7"/>
        <v>24.9</v>
      </c>
    </row>
    <row r="34">
      <c r="A34" s="76" t="s">
        <v>216</v>
      </c>
      <c r="B34" s="70" t="s">
        <v>121</v>
      </c>
      <c r="C34" s="68">
        <v>8.0</v>
      </c>
      <c r="D34" s="68">
        <v>6.0</v>
      </c>
      <c r="E34" s="68">
        <v>0.0</v>
      </c>
      <c r="F34" s="68">
        <v>0.0</v>
      </c>
      <c r="G34" s="68">
        <v>0.0</v>
      </c>
      <c r="H34" s="79">
        <v>1.0</v>
      </c>
      <c r="I34" s="73">
        <f t="shared" si="7"/>
        <v>14.2</v>
      </c>
    </row>
    <row r="35">
      <c r="A35" s="96"/>
      <c r="B35" s="108" t="s">
        <v>217</v>
      </c>
      <c r="C35" s="109">
        <f>SUM(C30:C34)</f>
        <v>69</v>
      </c>
      <c r="D35" s="109">
        <f>SUM(D30:D34)*1.2</f>
        <v>34.8</v>
      </c>
      <c r="E35" s="109">
        <f>SUM(E30:E34)*1.5</f>
        <v>36</v>
      </c>
      <c r="F35" s="109">
        <f t="shared" ref="F35:G35" si="8">SUM(F30:F34)*2</f>
        <v>4</v>
      </c>
      <c r="G35" s="109">
        <f t="shared" si="8"/>
        <v>4</v>
      </c>
      <c r="H35" s="109">
        <f>SUM(H30:H34) *-1</f>
        <v>-14</v>
      </c>
      <c r="I35" s="110">
        <f>SUM(C35:H35)</f>
        <v>133.8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158.9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78</v>
      </c>
      <c r="C3" s="60">
        <v>22.0</v>
      </c>
      <c r="D3" s="60">
        <v>7.0</v>
      </c>
      <c r="E3" s="60">
        <v>12.0</v>
      </c>
      <c r="F3" s="60">
        <v>1.0</v>
      </c>
      <c r="G3" s="60">
        <v>3.0</v>
      </c>
      <c r="H3" s="71">
        <v>7.0</v>
      </c>
      <c r="I3" s="72">
        <f t="shared" ref="I3:I7" si="1">sum(C3+1.2*D3+1.5*E3+2*F3+2*G3)-H3</f>
        <v>49.4</v>
      </c>
    </row>
    <row r="4">
      <c r="A4" s="76" t="s">
        <v>215</v>
      </c>
      <c r="B4" s="76" t="s">
        <v>93</v>
      </c>
      <c r="C4" s="60">
        <v>34.0</v>
      </c>
      <c r="D4" s="60">
        <v>3.0</v>
      </c>
      <c r="E4" s="60">
        <v>2.0</v>
      </c>
      <c r="F4" s="60">
        <v>0.0</v>
      </c>
      <c r="G4" s="60">
        <v>3.0</v>
      </c>
      <c r="H4" s="71">
        <v>2.0</v>
      </c>
      <c r="I4" s="72">
        <f t="shared" si="1"/>
        <v>44.6</v>
      </c>
    </row>
    <row r="5">
      <c r="A5" s="76" t="s">
        <v>216</v>
      </c>
      <c r="B5" s="70" t="s">
        <v>81</v>
      </c>
      <c r="C5" s="60">
        <v>17.0</v>
      </c>
      <c r="D5" s="60">
        <v>8.0</v>
      </c>
      <c r="E5" s="60">
        <v>0.0</v>
      </c>
      <c r="F5" s="60">
        <v>0.0</v>
      </c>
      <c r="G5" s="60">
        <v>1.0</v>
      </c>
      <c r="H5" s="71">
        <v>0.0</v>
      </c>
      <c r="I5" s="72">
        <f t="shared" si="1"/>
        <v>28.6</v>
      </c>
    </row>
    <row r="6">
      <c r="A6" s="76" t="s">
        <v>216</v>
      </c>
      <c r="B6" s="76" t="s">
        <v>134</v>
      </c>
      <c r="C6" s="60">
        <v>12.0</v>
      </c>
      <c r="D6" s="60">
        <v>5.0</v>
      </c>
      <c r="E6" s="60">
        <v>2.0</v>
      </c>
      <c r="F6" s="60">
        <v>0.0</v>
      </c>
      <c r="G6" s="60">
        <v>1.0</v>
      </c>
      <c r="H6" s="71">
        <v>1.0</v>
      </c>
      <c r="I6" s="72">
        <f t="shared" si="1"/>
        <v>22</v>
      </c>
    </row>
    <row r="7">
      <c r="A7" s="76" t="s">
        <v>216</v>
      </c>
      <c r="B7" s="36" t="s">
        <v>107</v>
      </c>
      <c r="C7" s="77">
        <v>8.0</v>
      </c>
      <c r="D7" s="77">
        <v>4.0</v>
      </c>
      <c r="E7" s="77">
        <v>1.0</v>
      </c>
      <c r="F7" s="77">
        <v>2.0</v>
      </c>
      <c r="G7" s="77">
        <v>0.0</v>
      </c>
      <c r="H7" s="78">
        <v>4.0</v>
      </c>
      <c r="I7" s="72">
        <f t="shared" si="1"/>
        <v>14.3</v>
      </c>
    </row>
    <row r="8">
      <c r="A8" s="96"/>
      <c r="B8" s="102" t="s">
        <v>217</v>
      </c>
      <c r="C8" s="103">
        <f>SUM(C3:C7)</f>
        <v>93</v>
      </c>
      <c r="D8" s="103">
        <f>SUM(D3:D7)*1.2</f>
        <v>32.4</v>
      </c>
      <c r="E8" s="103">
        <f>SUM(E3:E7)*1.5</f>
        <v>25.5</v>
      </c>
      <c r="F8" s="103">
        <f t="shared" ref="F8:G8" si="2">SUM(F3:F7)*2</f>
        <v>6</v>
      </c>
      <c r="G8" s="103">
        <f t="shared" si="2"/>
        <v>16</v>
      </c>
      <c r="H8" s="104">
        <f>SUM(H3:H7) *-1</f>
        <v>-14</v>
      </c>
      <c r="I8" s="105">
        <f>SUM(C8:H8)</f>
        <v>158.9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132.7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84</v>
      </c>
      <c r="C12" s="60">
        <v>22.0</v>
      </c>
      <c r="D12" s="60">
        <v>1.0</v>
      </c>
      <c r="E12" s="60">
        <v>6.0</v>
      </c>
      <c r="F12" s="60">
        <v>0.0</v>
      </c>
      <c r="G12" s="60">
        <v>0.0</v>
      </c>
      <c r="H12" s="71">
        <v>2.0</v>
      </c>
      <c r="I12" s="73">
        <f t="shared" ref="I12:I16" si="3">sum(C12+1.2*D12+1.5*E12+2*F12+2*G12)-H12</f>
        <v>30.2</v>
      </c>
    </row>
    <row r="13">
      <c r="A13" s="76" t="s">
        <v>215</v>
      </c>
      <c r="B13" s="76" t="s">
        <v>100</v>
      </c>
      <c r="C13" s="60">
        <v>9.0</v>
      </c>
      <c r="D13" s="60">
        <v>2.0</v>
      </c>
      <c r="E13" s="60">
        <v>3.0</v>
      </c>
      <c r="F13" s="60">
        <v>1.0</v>
      </c>
      <c r="G13" s="60">
        <v>1.0</v>
      </c>
      <c r="H13" s="71">
        <v>2.0</v>
      </c>
      <c r="I13" s="73">
        <f t="shared" si="3"/>
        <v>17.9</v>
      </c>
    </row>
    <row r="14">
      <c r="A14" s="76" t="s">
        <v>216</v>
      </c>
      <c r="B14" s="76" t="s">
        <v>89</v>
      </c>
      <c r="C14" s="60">
        <v>24.0</v>
      </c>
      <c r="D14" s="60">
        <v>7.0</v>
      </c>
      <c r="E14" s="60">
        <v>2.0</v>
      </c>
      <c r="F14" s="60">
        <v>0.0</v>
      </c>
      <c r="G14" s="60">
        <v>0.0</v>
      </c>
      <c r="H14" s="71">
        <v>1.0</v>
      </c>
      <c r="I14" s="73">
        <f t="shared" si="3"/>
        <v>34.4</v>
      </c>
    </row>
    <row r="15">
      <c r="A15" s="76" t="s">
        <v>216</v>
      </c>
      <c r="B15" s="76" t="s">
        <v>82</v>
      </c>
      <c r="C15" s="60">
        <v>6.0</v>
      </c>
      <c r="D15" s="60">
        <v>8.0</v>
      </c>
      <c r="E15" s="60">
        <v>2.0</v>
      </c>
      <c r="F15" s="60">
        <v>0.0</v>
      </c>
      <c r="G15" s="60">
        <v>1.0</v>
      </c>
      <c r="H15" s="71">
        <v>2.0</v>
      </c>
      <c r="I15" s="73">
        <f t="shared" si="3"/>
        <v>18.6</v>
      </c>
    </row>
    <row r="16">
      <c r="A16" s="76" t="s">
        <v>216</v>
      </c>
      <c r="B16" s="70" t="s">
        <v>131</v>
      </c>
      <c r="C16" s="77">
        <v>26.0</v>
      </c>
      <c r="D16" s="77">
        <v>3.0</v>
      </c>
      <c r="E16" s="77">
        <v>0.0</v>
      </c>
      <c r="F16" s="77">
        <v>2.0</v>
      </c>
      <c r="G16" s="77">
        <v>0.0</v>
      </c>
      <c r="H16" s="78">
        <v>2.0</v>
      </c>
      <c r="I16" s="73">
        <f t="shared" si="3"/>
        <v>31.6</v>
      </c>
    </row>
    <row r="17">
      <c r="A17" s="96"/>
      <c r="B17" s="102" t="s">
        <v>217</v>
      </c>
      <c r="C17" s="103">
        <f>SUM(C12:C16)</f>
        <v>87</v>
      </c>
      <c r="D17" s="103">
        <f>SUM(D12:D16)*1.2</f>
        <v>25.2</v>
      </c>
      <c r="E17" s="103">
        <f>SUM(E12:E16)*1.5</f>
        <v>19.5</v>
      </c>
      <c r="F17" s="103">
        <f t="shared" ref="F17:G17" si="4">SUM(F12:F16)*2</f>
        <v>6</v>
      </c>
      <c r="G17" s="103">
        <f t="shared" si="4"/>
        <v>4</v>
      </c>
      <c r="H17" s="104">
        <f>SUM(H12:H16) *-1</f>
        <v>-9</v>
      </c>
      <c r="I17" s="105">
        <f>SUM(C17:H17)</f>
        <v>132.7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173.1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94</v>
      </c>
      <c r="C21" s="60">
        <v>28.0</v>
      </c>
      <c r="D21" s="60">
        <v>6.0</v>
      </c>
      <c r="E21" s="60">
        <v>4.0</v>
      </c>
      <c r="F21" s="60">
        <v>2.0</v>
      </c>
      <c r="G21" s="60">
        <v>0.0</v>
      </c>
      <c r="H21" s="71">
        <v>2.0</v>
      </c>
      <c r="I21" s="73">
        <f t="shared" ref="I21:I25" si="5">sum(C21+1.2*D21+1.5*E21+2*F21+2*G21)-H21</f>
        <v>43.2</v>
      </c>
    </row>
    <row r="22">
      <c r="A22" s="76" t="s">
        <v>215</v>
      </c>
      <c r="B22" s="36" t="s">
        <v>127</v>
      </c>
      <c r="C22" s="60">
        <v>13.0</v>
      </c>
      <c r="D22" s="60">
        <v>2.0</v>
      </c>
      <c r="E22" s="60">
        <v>6.0</v>
      </c>
      <c r="F22" s="60">
        <v>4.0</v>
      </c>
      <c r="G22" s="60">
        <v>0.0</v>
      </c>
      <c r="H22" s="71">
        <v>1.0</v>
      </c>
      <c r="I22" s="73">
        <f t="shared" si="5"/>
        <v>31.4</v>
      </c>
    </row>
    <row r="23">
      <c r="A23" s="76" t="s">
        <v>216</v>
      </c>
      <c r="B23" s="76" t="s">
        <v>88</v>
      </c>
      <c r="C23" s="60">
        <v>29.0</v>
      </c>
      <c r="D23" s="60">
        <v>8.0</v>
      </c>
      <c r="E23" s="60">
        <v>5.0</v>
      </c>
      <c r="F23" s="60">
        <v>0.0</v>
      </c>
      <c r="G23" s="60">
        <v>0.0</v>
      </c>
      <c r="H23" s="71">
        <v>5.0</v>
      </c>
      <c r="I23" s="73">
        <f t="shared" si="5"/>
        <v>41.1</v>
      </c>
    </row>
    <row r="24">
      <c r="A24" s="76" t="s">
        <v>216</v>
      </c>
      <c r="B24" s="36" t="s">
        <v>70</v>
      </c>
      <c r="C24" s="60">
        <v>19.0</v>
      </c>
      <c r="D24" s="60">
        <v>8.0</v>
      </c>
      <c r="E24" s="60">
        <v>0.0</v>
      </c>
      <c r="F24" s="60">
        <v>1.0</v>
      </c>
      <c r="G24" s="60">
        <v>1.0</v>
      </c>
      <c r="H24" s="71">
        <v>2.0</v>
      </c>
      <c r="I24" s="73">
        <f t="shared" si="5"/>
        <v>30.6</v>
      </c>
    </row>
    <row r="25">
      <c r="A25" s="76" t="s">
        <v>216</v>
      </c>
      <c r="B25" s="76" t="s">
        <v>110</v>
      </c>
      <c r="C25" s="60">
        <v>14.0</v>
      </c>
      <c r="D25" s="60">
        <v>4.0</v>
      </c>
      <c r="E25" s="60">
        <v>2.0</v>
      </c>
      <c r="F25" s="60">
        <v>4.0</v>
      </c>
      <c r="G25" s="60">
        <v>0.0</v>
      </c>
      <c r="H25" s="71">
        <v>3.0</v>
      </c>
      <c r="I25" s="73">
        <f t="shared" si="5"/>
        <v>26.8</v>
      </c>
    </row>
    <row r="26">
      <c r="A26" s="96"/>
      <c r="B26" s="108" t="s">
        <v>217</v>
      </c>
      <c r="C26" s="109">
        <f>SUM(C21:C25)</f>
        <v>103</v>
      </c>
      <c r="D26" s="109">
        <f>SUM(D21:D25)*1.2</f>
        <v>33.6</v>
      </c>
      <c r="E26" s="109">
        <f>SUM(E21:E25)*1.5</f>
        <v>25.5</v>
      </c>
      <c r="F26" s="109">
        <f t="shared" ref="F26:G26" si="6">SUM(F21:F25)*2</f>
        <v>22</v>
      </c>
      <c r="G26" s="109">
        <f t="shared" si="6"/>
        <v>2</v>
      </c>
      <c r="H26" s="109">
        <f>SUM(H21:H25) *-1</f>
        <v>-13</v>
      </c>
      <c r="I26" s="110">
        <f>SUM(C26:H26)</f>
        <v>173.1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172.4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129</v>
      </c>
      <c r="C30" s="60">
        <v>14.0</v>
      </c>
      <c r="D30" s="60">
        <v>7.0</v>
      </c>
      <c r="E30" s="60">
        <v>3.0</v>
      </c>
      <c r="F30" s="60">
        <v>0.0</v>
      </c>
      <c r="G30" s="60">
        <v>0.0</v>
      </c>
      <c r="H30" s="71">
        <v>1.0</v>
      </c>
      <c r="I30" s="73">
        <f t="shared" ref="I30:I34" si="7">sum(C30+1.2*D30+1.5*E30+2*F30+2*G30)-H30</f>
        <v>25.9</v>
      </c>
    </row>
    <row r="31">
      <c r="A31" s="76" t="s">
        <v>215</v>
      </c>
      <c r="B31" s="36" t="s">
        <v>119</v>
      </c>
      <c r="C31" s="60">
        <v>17.0</v>
      </c>
      <c r="D31" s="60">
        <v>5.0</v>
      </c>
      <c r="E31" s="60">
        <v>3.0</v>
      </c>
      <c r="F31" s="60">
        <v>1.0</v>
      </c>
      <c r="G31" s="60">
        <v>0.0</v>
      </c>
      <c r="H31" s="71">
        <v>0.0</v>
      </c>
      <c r="I31" s="73">
        <f t="shared" si="7"/>
        <v>29.5</v>
      </c>
    </row>
    <row r="32">
      <c r="A32" s="76" t="s">
        <v>216</v>
      </c>
      <c r="B32" s="36" t="s">
        <v>98</v>
      </c>
      <c r="C32" s="60">
        <v>26.0</v>
      </c>
      <c r="D32" s="60">
        <v>8.0</v>
      </c>
      <c r="E32" s="60">
        <v>12.0</v>
      </c>
      <c r="F32" s="60">
        <v>1.0</v>
      </c>
      <c r="G32" s="60">
        <v>0.0</v>
      </c>
      <c r="H32" s="71">
        <v>2.0</v>
      </c>
      <c r="I32" s="73">
        <f t="shared" si="7"/>
        <v>53.6</v>
      </c>
    </row>
    <row r="33">
      <c r="A33" s="76" t="s">
        <v>216</v>
      </c>
      <c r="B33" s="76" t="s">
        <v>76</v>
      </c>
      <c r="C33" s="60">
        <v>17.0</v>
      </c>
      <c r="D33" s="60">
        <v>6.0</v>
      </c>
      <c r="E33" s="60">
        <v>6.0</v>
      </c>
      <c r="F33" s="60">
        <v>3.0</v>
      </c>
      <c r="G33" s="60">
        <v>0.0</v>
      </c>
      <c r="H33" s="71">
        <v>1.0</v>
      </c>
      <c r="I33" s="73">
        <f t="shared" si="7"/>
        <v>38.2</v>
      </c>
    </row>
    <row r="34">
      <c r="A34" s="76" t="s">
        <v>216</v>
      </c>
      <c r="B34" s="70" t="s">
        <v>126</v>
      </c>
      <c r="C34" s="68">
        <v>10.0</v>
      </c>
      <c r="D34" s="68">
        <v>6.0</v>
      </c>
      <c r="E34" s="68">
        <v>6.0</v>
      </c>
      <c r="F34" s="68">
        <v>1.0</v>
      </c>
      <c r="G34" s="68">
        <v>0.0</v>
      </c>
      <c r="H34" s="79">
        <v>3.0</v>
      </c>
      <c r="I34" s="73">
        <f t="shared" si="7"/>
        <v>25.2</v>
      </c>
    </row>
    <row r="35">
      <c r="A35" s="96"/>
      <c r="B35" s="108" t="s">
        <v>217</v>
      </c>
      <c r="C35" s="109">
        <f>SUM(C30:C34)</f>
        <v>84</v>
      </c>
      <c r="D35" s="109">
        <f>SUM(D30:D34)*1.2</f>
        <v>38.4</v>
      </c>
      <c r="E35" s="109">
        <f>SUM(E30:E34)*1.5</f>
        <v>45</v>
      </c>
      <c r="F35" s="109">
        <f t="shared" ref="F35:G35" si="8">SUM(F30:F34)*2</f>
        <v>12</v>
      </c>
      <c r="G35" s="109">
        <f t="shared" si="8"/>
        <v>0</v>
      </c>
      <c r="H35" s="109">
        <f>SUM(H30:H34) *-1</f>
        <v>-7</v>
      </c>
      <c r="I35" s="110">
        <f>SUM(C35:H35)</f>
        <v>172.4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154.7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44</v>
      </c>
      <c r="C3" s="60">
        <v>11.0</v>
      </c>
      <c r="D3" s="60">
        <v>4.0</v>
      </c>
      <c r="E3" s="60">
        <v>3.0</v>
      </c>
      <c r="F3" s="60">
        <v>0.0</v>
      </c>
      <c r="G3" s="60">
        <v>0.0</v>
      </c>
      <c r="H3" s="71">
        <v>5.0</v>
      </c>
      <c r="I3" s="72">
        <f t="shared" ref="I3:I7" si="1">sum(C3+1.2*D3+1.5*E3+2*F3+2*G3)-H3</f>
        <v>15.3</v>
      </c>
    </row>
    <row r="4">
      <c r="A4" s="76" t="s">
        <v>215</v>
      </c>
      <c r="B4" s="76" t="s">
        <v>83</v>
      </c>
      <c r="C4" s="60">
        <v>18.0</v>
      </c>
      <c r="D4" s="60">
        <v>3.0</v>
      </c>
      <c r="E4" s="60">
        <v>6.0</v>
      </c>
      <c r="F4" s="60">
        <v>1.0</v>
      </c>
      <c r="G4" s="60">
        <v>1.0</v>
      </c>
      <c r="H4" s="71">
        <v>2.0</v>
      </c>
      <c r="I4" s="72">
        <f t="shared" si="1"/>
        <v>32.6</v>
      </c>
    </row>
    <row r="5">
      <c r="A5" s="76" t="s">
        <v>216</v>
      </c>
      <c r="B5" s="70" t="s">
        <v>66</v>
      </c>
      <c r="C5" s="60">
        <v>44.0</v>
      </c>
      <c r="D5" s="60">
        <v>15.0</v>
      </c>
      <c r="E5" s="60">
        <v>5.0</v>
      </c>
      <c r="F5" s="60">
        <v>2.0</v>
      </c>
      <c r="G5" s="60">
        <v>0.0</v>
      </c>
      <c r="H5" s="71">
        <v>2.0</v>
      </c>
      <c r="I5" s="72">
        <f t="shared" si="1"/>
        <v>71.5</v>
      </c>
    </row>
    <row r="6">
      <c r="A6" s="76" t="s">
        <v>216</v>
      </c>
      <c r="B6" s="76" t="s">
        <v>58</v>
      </c>
      <c r="C6" s="60">
        <v>13.0</v>
      </c>
      <c r="D6" s="60">
        <v>5.0</v>
      </c>
      <c r="E6" s="60">
        <v>3.0</v>
      </c>
      <c r="F6" s="60">
        <v>1.0</v>
      </c>
      <c r="G6" s="60">
        <v>0.0</v>
      </c>
      <c r="H6" s="71">
        <v>3.0</v>
      </c>
      <c r="I6" s="72">
        <f t="shared" si="1"/>
        <v>22.5</v>
      </c>
    </row>
    <row r="7">
      <c r="A7" s="76" t="s">
        <v>216</v>
      </c>
      <c r="B7" s="36" t="s">
        <v>85</v>
      </c>
      <c r="C7" s="77">
        <v>2.0</v>
      </c>
      <c r="D7" s="77">
        <v>4.0</v>
      </c>
      <c r="E7" s="77">
        <v>2.0</v>
      </c>
      <c r="F7" s="77">
        <v>2.0</v>
      </c>
      <c r="G7" s="77">
        <v>0.0</v>
      </c>
      <c r="H7" s="78">
        <v>1.0</v>
      </c>
      <c r="I7" s="72">
        <f t="shared" si="1"/>
        <v>12.8</v>
      </c>
    </row>
    <row r="8">
      <c r="A8" s="96"/>
      <c r="B8" s="102" t="s">
        <v>217</v>
      </c>
      <c r="C8" s="103">
        <f>SUM(C3:C7)</f>
        <v>88</v>
      </c>
      <c r="D8" s="103">
        <f>SUM(D3:D7)*1.2</f>
        <v>37.2</v>
      </c>
      <c r="E8" s="103">
        <f>SUM(E3:E7)*1.5</f>
        <v>28.5</v>
      </c>
      <c r="F8" s="103">
        <f t="shared" ref="F8:G8" si="2">SUM(F3:F7)*2</f>
        <v>12</v>
      </c>
      <c r="G8" s="103">
        <f t="shared" si="2"/>
        <v>2</v>
      </c>
      <c r="H8" s="104">
        <f>SUM(H3:H7) *-1</f>
        <v>-13</v>
      </c>
      <c r="I8" s="105">
        <f>SUM(C8:H8)</f>
        <v>154.7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>
        <f>I17</f>
        <v>144.5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31.0</v>
      </c>
      <c r="D12" s="60">
        <v>6.0</v>
      </c>
      <c r="E12" s="60">
        <v>7.0</v>
      </c>
      <c r="F12" s="60">
        <v>2.0</v>
      </c>
      <c r="G12" s="60">
        <v>2.0</v>
      </c>
      <c r="H12" s="71">
        <v>5.0</v>
      </c>
      <c r="I12" s="73">
        <f t="shared" ref="I12:I16" si="3">sum(C12+1.2*D12+1.5*E12+2*F12+2*G12)-H12</f>
        <v>51.7</v>
      </c>
    </row>
    <row r="13">
      <c r="A13" s="76" t="s">
        <v>215</v>
      </c>
      <c r="B13" s="76" t="s">
        <v>113</v>
      </c>
      <c r="C13" s="60">
        <v>8.0</v>
      </c>
      <c r="D13" s="60">
        <v>7.0</v>
      </c>
      <c r="E13" s="60">
        <v>3.0</v>
      </c>
      <c r="F13" s="60">
        <v>1.0</v>
      </c>
      <c r="G13" s="60">
        <v>2.0</v>
      </c>
      <c r="H13" s="71">
        <v>1.0</v>
      </c>
      <c r="I13" s="73">
        <f t="shared" si="3"/>
        <v>25.9</v>
      </c>
    </row>
    <row r="14">
      <c r="A14" s="76" t="s">
        <v>216</v>
      </c>
      <c r="B14" s="76" t="s">
        <v>101</v>
      </c>
      <c r="C14" s="60">
        <v>14.0</v>
      </c>
      <c r="D14" s="60">
        <v>8.0</v>
      </c>
      <c r="E14" s="60">
        <v>1.0</v>
      </c>
      <c r="F14" s="60">
        <v>1.0</v>
      </c>
      <c r="G14" s="60">
        <v>2.0</v>
      </c>
      <c r="H14" s="71">
        <v>1.0</v>
      </c>
      <c r="I14" s="73">
        <f t="shared" si="3"/>
        <v>30.1</v>
      </c>
    </row>
    <row r="15">
      <c r="A15" s="76" t="s">
        <v>216</v>
      </c>
      <c r="B15" s="76" t="s">
        <v>114</v>
      </c>
      <c r="C15" s="60">
        <v>10.0</v>
      </c>
      <c r="D15" s="60">
        <v>7.0</v>
      </c>
      <c r="E15" s="60">
        <v>0.0</v>
      </c>
      <c r="F15" s="60">
        <v>0.0</v>
      </c>
      <c r="G15" s="60">
        <v>4.0</v>
      </c>
      <c r="H15" s="71">
        <v>1.0</v>
      </c>
      <c r="I15" s="73">
        <f t="shared" si="3"/>
        <v>25.4</v>
      </c>
    </row>
    <row r="16">
      <c r="A16" s="76" t="s">
        <v>216</v>
      </c>
      <c r="B16" s="70" t="s">
        <v>102</v>
      </c>
      <c r="C16" s="77">
        <v>0.0</v>
      </c>
      <c r="D16" s="77">
        <v>7.0</v>
      </c>
      <c r="E16" s="77">
        <v>2.0</v>
      </c>
      <c r="F16" s="77">
        <v>0.0</v>
      </c>
      <c r="G16" s="77">
        <v>0.0</v>
      </c>
      <c r="H16" s="78">
        <v>0.0</v>
      </c>
      <c r="I16" s="73">
        <f t="shared" si="3"/>
        <v>11.4</v>
      </c>
    </row>
    <row r="17">
      <c r="A17" s="96"/>
      <c r="B17" s="102" t="s">
        <v>217</v>
      </c>
      <c r="C17" s="103">
        <f>SUM(C12:C16)</f>
        <v>63</v>
      </c>
      <c r="D17" s="103">
        <f>SUM(D12:D16)*1.2</f>
        <v>42</v>
      </c>
      <c r="E17" s="103">
        <f>SUM(E12:E16)*1.5</f>
        <v>19.5</v>
      </c>
      <c r="F17" s="103">
        <f t="shared" ref="F17:G17" si="4">SUM(F12:F16)*2</f>
        <v>8</v>
      </c>
      <c r="G17" s="103">
        <f t="shared" si="4"/>
        <v>20</v>
      </c>
      <c r="H17" s="104">
        <f>SUM(H12:H16) *-1</f>
        <v>-8</v>
      </c>
      <c r="I17" s="105">
        <f>SUM(C17:H17)</f>
        <v>144.5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>
        <f>I26</f>
        <v>154.5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92</v>
      </c>
      <c r="C21" s="60">
        <v>31.0</v>
      </c>
      <c r="D21" s="60">
        <v>6.0</v>
      </c>
      <c r="E21" s="60">
        <v>8.0</v>
      </c>
      <c r="F21" s="60">
        <v>1.0</v>
      </c>
      <c r="G21" s="60">
        <v>0.0</v>
      </c>
      <c r="H21" s="71">
        <v>4.0</v>
      </c>
      <c r="I21" s="73">
        <f t="shared" ref="I21:I25" si="5">sum(C21+1.2*D21+1.5*E21+2*F21+2*G21)-H21</f>
        <v>48.2</v>
      </c>
    </row>
    <row r="22">
      <c r="A22" s="76" t="s">
        <v>215</v>
      </c>
      <c r="B22" s="36" t="s">
        <v>117</v>
      </c>
      <c r="C22" s="60">
        <v>8.0</v>
      </c>
      <c r="D22" s="60">
        <v>0.0</v>
      </c>
      <c r="E22" s="60">
        <v>2.0</v>
      </c>
      <c r="F22" s="60">
        <v>1.0</v>
      </c>
      <c r="G22" s="60">
        <v>0.0</v>
      </c>
      <c r="H22" s="71">
        <v>0.0</v>
      </c>
      <c r="I22" s="73">
        <f t="shared" si="5"/>
        <v>13</v>
      </c>
    </row>
    <row r="23">
      <c r="A23" s="76" t="s">
        <v>216</v>
      </c>
      <c r="B23" s="76" t="s">
        <v>80</v>
      </c>
      <c r="C23" s="60">
        <v>18.0</v>
      </c>
      <c r="D23" s="60">
        <v>9.0</v>
      </c>
      <c r="E23" s="60">
        <v>4.0</v>
      </c>
      <c r="F23" s="60">
        <v>1.0</v>
      </c>
      <c r="G23" s="60">
        <v>0.0</v>
      </c>
      <c r="H23" s="71">
        <v>0.0</v>
      </c>
      <c r="I23" s="73">
        <f t="shared" si="5"/>
        <v>36.8</v>
      </c>
    </row>
    <row r="24">
      <c r="A24" s="76" t="s">
        <v>216</v>
      </c>
      <c r="B24" s="36" t="s">
        <v>91</v>
      </c>
      <c r="C24" s="60">
        <v>24.0</v>
      </c>
      <c r="D24" s="60">
        <v>11.0</v>
      </c>
      <c r="E24" s="60">
        <v>1.0</v>
      </c>
      <c r="F24" s="60">
        <v>0.0</v>
      </c>
      <c r="G24" s="60">
        <v>2.0</v>
      </c>
      <c r="H24" s="71">
        <v>0.0</v>
      </c>
      <c r="I24" s="73">
        <f t="shared" si="5"/>
        <v>42.7</v>
      </c>
    </row>
    <row r="25">
      <c r="A25" s="76" t="s">
        <v>216</v>
      </c>
      <c r="B25" s="76" t="s">
        <v>105</v>
      </c>
      <c r="C25" s="60">
        <v>9.0</v>
      </c>
      <c r="D25" s="60">
        <v>4.0</v>
      </c>
      <c r="E25" s="60">
        <v>0.0</v>
      </c>
      <c r="F25" s="60">
        <v>1.0</v>
      </c>
      <c r="G25" s="60">
        <v>0.0</v>
      </c>
      <c r="H25" s="71">
        <v>2.0</v>
      </c>
      <c r="I25" s="73">
        <f t="shared" si="5"/>
        <v>13.8</v>
      </c>
    </row>
    <row r="26">
      <c r="A26" s="96"/>
      <c r="B26" s="108" t="s">
        <v>217</v>
      </c>
      <c r="C26" s="109">
        <f>SUM(C21:C25)</f>
        <v>90</v>
      </c>
      <c r="D26" s="109">
        <f>SUM(D21:D25)*1.2</f>
        <v>36</v>
      </c>
      <c r="E26" s="109">
        <f>SUM(E21:E25)*1.5</f>
        <v>22.5</v>
      </c>
      <c r="F26" s="109">
        <f t="shared" ref="F26:G26" si="6">SUM(F21:F25)*2</f>
        <v>8</v>
      </c>
      <c r="G26" s="109">
        <f t="shared" si="6"/>
        <v>4</v>
      </c>
      <c r="H26" s="109">
        <f>SUM(H21:H25) *-1</f>
        <v>-6</v>
      </c>
      <c r="I26" s="110">
        <f>SUM(C26:H26)</f>
        <v>154.5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199.7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87</v>
      </c>
      <c r="C30" s="60">
        <v>35.0</v>
      </c>
      <c r="D30" s="60">
        <v>9.0</v>
      </c>
      <c r="E30" s="60">
        <v>1.0</v>
      </c>
      <c r="F30" s="60">
        <v>4.0</v>
      </c>
      <c r="G30" s="60">
        <v>1.0</v>
      </c>
      <c r="H30" s="71">
        <v>2.0</v>
      </c>
      <c r="I30" s="73">
        <f t="shared" ref="I30:I34" si="7">sum(C30+1.2*D30+1.5*E30+2*F30+2*G30)-H30</f>
        <v>55.3</v>
      </c>
    </row>
    <row r="31">
      <c r="A31" s="76" t="s">
        <v>215</v>
      </c>
      <c r="B31" s="36" t="s">
        <v>72</v>
      </c>
      <c r="C31" s="60">
        <v>28.0</v>
      </c>
      <c r="D31" s="60">
        <v>4.0</v>
      </c>
      <c r="E31" s="60">
        <v>3.0</v>
      </c>
      <c r="F31" s="60">
        <v>0.0</v>
      </c>
      <c r="G31" s="60">
        <v>1.0</v>
      </c>
      <c r="H31" s="71">
        <v>4.0</v>
      </c>
      <c r="I31" s="73">
        <f t="shared" si="7"/>
        <v>35.3</v>
      </c>
    </row>
    <row r="32">
      <c r="A32" s="76" t="s">
        <v>216</v>
      </c>
      <c r="B32" s="36" t="s">
        <v>111</v>
      </c>
      <c r="C32" s="60">
        <v>21.0</v>
      </c>
      <c r="D32" s="60">
        <v>8.0</v>
      </c>
      <c r="E32" s="60">
        <v>5.0</v>
      </c>
      <c r="F32" s="60">
        <v>1.0</v>
      </c>
      <c r="G32" s="60">
        <v>2.0</v>
      </c>
      <c r="H32" s="71">
        <v>0.0</v>
      </c>
      <c r="I32" s="73">
        <f t="shared" si="7"/>
        <v>44.1</v>
      </c>
    </row>
    <row r="33">
      <c r="A33" s="76" t="s">
        <v>216</v>
      </c>
      <c r="B33" s="76" t="s">
        <v>121</v>
      </c>
      <c r="C33" s="60">
        <v>15.0</v>
      </c>
      <c r="D33" s="60">
        <v>7.0</v>
      </c>
      <c r="E33" s="60">
        <v>2.0</v>
      </c>
      <c r="F33" s="60">
        <v>1.0</v>
      </c>
      <c r="G33" s="60">
        <v>1.0</v>
      </c>
      <c r="H33" s="71">
        <v>1.0</v>
      </c>
      <c r="I33" s="73">
        <f t="shared" si="7"/>
        <v>29.4</v>
      </c>
    </row>
    <row r="34">
      <c r="A34" s="76" t="s">
        <v>216</v>
      </c>
      <c r="B34" s="70" t="s">
        <v>120</v>
      </c>
      <c r="C34" s="68">
        <v>13.0</v>
      </c>
      <c r="D34" s="68">
        <v>13.0</v>
      </c>
      <c r="E34" s="68">
        <v>2.0</v>
      </c>
      <c r="F34" s="68">
        <v>2.0</v>
      </c>
      <c r="G34" s="68">
        <v>0.0</v>
      </c>
      <c r="H34" s="79">
        <v>0.0</v>
      </c>
      <c r="I34" s="73">
        <f t="shared" si="7"/>
        <v>35.6</v>
      </c>
    </row>
    <row r="35">
      <c r="A35" s="96"/>
      <c r="B35" s="108" t="s">
        <v>217</v>
      </c>
      <c r="C35" s="109">
        <f>SUM(C30:C34)</f>
        <v>112</v>
      </c>
      <c r="D35" s="109">
        <f>SUM(D30:D34)*1.2</f>
        <v>49.2</v>
      </c>
      <c r="E35" s="109">
        <f>SUM(E30:E34)*1.5</f>
        <v>19.5</v>
      </c>
      <c r="F35" s="109">
        <f t="shared" ref="F35:G35" si="8">SUM(F30:F34)*2</f>
        <v>16</v>
      </c>
      <c r="G35" s="109">
        <f t="shared" si="8"/>
        <v>10</v>
      </c>
      <c r="H35" s="109">
        <f>SUM(H30:H34) *-1</f>
        <v>-7</v>
      </c>
      <c r="I35" s="110">
        <f>SUM(C35:H35)</f>
        <v>199.7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155.6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93</v>
      </c>
      <c r="C3" s="60">
        <v>23.0</v>
      </c>
      <c r="D3" s="60">
        <v>3.0</v>
      </c>
      <c r="E3" s="60">
        <v>2.0</v>
      </c>
      <c r="F3" s="60">
        <v>0.0</v>
      </c>
      <c r="G3" s="60">
        <v>0.0</v>
      </c>
      <c r="H3" s="71">
        <v>2.0</v>
      </c>
      <c r="I3" s="72">
        <f t="shared" ref="I3:I7" si="1">sum(C3+1.2*D3+1.5*E3+2*F3+2*G3)-H3</f>
        <v>27.6</v>
      </c>
    </row>
    <row r="4">
      <c r="A4" s="76" t="s">
        <v>215</v>
      </c>
      <c r="B4" s="76" t="s">
        <v>130</v>
      </c>
      <c r="C4" s="60">
        <v>13.0</v>
      </c>
      <c r="D4" s="60">
        <v>2.0</v>
      </c>
      <c r="E4" s="60">
        <v>2.0</v>
      </c>
      <c r="F4" s="60">
        <v>1.0</v>
      </c>
      <c r="G4" s="60">
        <v>1.0</v>
      </c>
      <c r="H4" s="71">
        <v>3.0</v>
      </c>
      <c r="I4" s="72">
        <f t="shared" si="1"/>
        <v>19.4</v>
      </c>
    </row>
    <row r="5">
      <c r="A5" s="76" t="s">
        <v>216</v>
      </c>
      <c r="B5" s="70" t="s">
        <v>69</v>
      </c>
      <c r="C5" s="60">
        <v>42.0</v>
      </c>
      <c r="D5" s="60">
        <v>8.0</v>
      </c>
      <c r="E5" s="60">
        <v>4.0</v>
      </c>
      <c r="F5" s="60">
        <v>4.0</v>
      </c>
      <c r="G5" s="60">
        <v>2.0</v>
      </c>
      <c r="H5" s="71">
        <v>3.0</v>
      </c>
      <c r="I5" s="72">
        <f t="shared" si="1"/>
        <v>66.6</v>
      </c>
    </row>
    <row r="6">
      <c r="A6" s="76" t="s">
        <v>216</v>
      </c>
      <c r="B6" s="76" t="s">
        <v>89</v>
      </c>
      <c r="C6" s="60">
        <v>6.0</v>
      </c>
      <c r="D6" s="60">
        <v>9.0</v>
      </c>
      <c r="E6" s="60">
        <v>5.0</v>
      </c>
      <c r="F6" s="60">
        <v>1.0</v>
      </c>
      <c r="G6" s="60">
        <v>0.0</v>
      </c>
      <c r="H6" s="71">
        <v>3.0</v>
      </c>
      <c r="I6" s="72">
        <f t="shared" si="1"/>
        <v>23.3</v>
      </c>
    </row>
    <row r="7">
      <c r="A7" s="76" t="s">
        <v>216</v>
      </c>
      <c r="B7" s="36" t="s">
        <v>81</v>
      </c>
      <c r="C7" s="77">
        <v>8.0</v>
      </c>
      <c r="D7" s="77">
        <v>6.0</v>
      </c>
      <c r="E7" s="77">
        <v>1.0</v>
      </c>
      <c r="F7" s="77">
        <v>0.0</v>
      </c>
      <c r="G7" s="77">
        <v>1.0</v>
      </c>
      <c r="H7" s="78">
        <v>0.0</v>
      </c>
      <c r="I7" s="72">
        <f t="shared" si="1"/>
        <v>18.7</v>
      </c>
    </row>
    <row r="8">
      <c r="A8" s="96"/>
      <c r="B8" s="102" t="s">
        <v>217</v>
      </c>
      <c r="C8" s="103">
        <f>SUM(C3:C7)</f>
        <v>92</v>
      </c>
      <c r="D8" s="103">
        <f>SUM(D3:D7)*1.2</f>
        <v>33.6</v>
      </c>
      <c r="E8" s="103">
        <f>SUM(E3:E7)*1.5</f>
        <v>21</v>
      </c>
      <c r="F8" s="103">
        <f t="shared" ref="F8:G8" si="2">SUM(F3:F7)*2</f>
        <v>12</v>
      </c>
      <c r="G8" s="103">
        <f t="shared" si="2"/>
        <v>8</v>
      </c>
      <c r="H8" s="104">
        <f>SUM(H3:H7) *-1</f>
        <v>-11</v>
      </c>
      <c r="I8" s="105">
        <f>SUM(C8:H8)</f>
        <v>155.6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161.5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30.0</v>
      </c>
      <c r="D12" s="60">
        <v>4.0</v>
      </c>
      <c r="E12" s="60">
        <v>5.0</v>
      </c>
      <c r="F12" s="60">
        <v>2.0</v>
      </c>
      <c r="G12" s="60">
        <v>0.0</v>
      </c>
      <c r="H12" s="71">
        <v>3.0</v>
      </c>
      <c r="I12" s="73">
        <f t="shared" ref="I12:I16" si="3">sum(C12+1.2*D12+1.5*E12+2*F12+2*G12)-H12</f>
        <v>43.3</v>
      </c>
    </row>
    <row r="13">
      <c r="A13" s="76" t="s">
        <v>215</v>
      </c>
      <c r="B13" s="76" t="s">
        <v>100</v>
      </c>
      <c r="C13" s="60">
        <v>23.0</v>
      </c>
      <c r="D13" s="60">
        <v>7.0</v>
      </c>
      <c r="E13" s="60">
        <v>3.0</v>
      </c>
      <c r="F13" s="60">
        <v>4.0</v>
      </c>
      <c r="G13" s="60">
        <v>1.0</v>
      </c>
      <c r="H13" s="71">
        <v>2.0</v>
      </c>
      <c r="I13" s="73">
        <f t="shared" si="3"/>
        <v>43.9</v>
      </c>
    </row>
    <row r="14">
      <c r="A14" s="76" t="s">
        <v>216</v>
      </c>
      <c r="B14" s="76" t="s">
        <v>98</v>
      </c>
      <c r="C14" s="60">
        <v>20.0</v>
      </c>
      <c r="D14" s="60">
        <v>7.0</v>
      </c>
      <c r="E14" s="60">
        <v>2.0</v>
      </c>
      <c r="F14" s="60">
        <v>0.0</v>
      </c>
      <c r="G14" s="60">
        <v>0.0</v>
      </c>
      <c r="H14" s="71">
        <v>5.0</v>
      </c>
      <c r="I14" s="73">
        <f t="shared" si="3"/>
        <v>26.4</v>
      </c>
    </row>
    <row r="15">
      <c r="A15" s="76" t="s">
        <v>216</v>
      </c>
      <c r="B15" s="76" t="s">
        <v>131</v>
      </c>
      <c r="C15" s="60">
        <v>23.0</v>
      </c>
      <c r="D15" s="60">
        <v>0.0</v>
      </c>
      <c r="E15" s="60">
        <v>1.0</v>
      </c>
      <c r="F15" s="60">
        <v>1.0</v>
      </c>
      <c r="G15" s="60">
        <v>0.0</v>
      </c>
      <c r="H15" s="71">
        <v>2.0</v>
      </c>
      <c r="I15" s="73">
        <f t="shared" si="3"/>
        <v>24.5</v>
      </c>
    </row>
    <row r="16">
      <c r="A16" s="76" t="s">
        <v>216</v>
      </c>
      <c r="B16" s="70" t="s">
        <v>126</v>
      </c>
      <c r="C16" s="77">
        <v>14.0</v>
      </c>
      <c r="D16" s="77">
        <v>7.0</v>
      </c>
      <c r="E16" s="77">
        <v>2.0</v>
      </c>
      <c r="F16" s="77">
        <v>0.0</v>
      </c>
      <c r="G16" s="77">
        <v>0.0</v>
      </c>
      <c r="H16" s="78">
        <v>2.0</v>
      </c>
      <c r="I16" s="73">
        <f t="shared" si="3"/>
        <v>23.4</v>
      </c>
    </row>
    <row r="17">
      <c r="A17" s="96"/>
      <c r="B17" s="102" t="s">
        <v>217</v>
      </c>
      <c r="C17" s="103">
        <f>SUM(C12:C16)</f>
        <v>110</v>
      </c>
      <c r="D17" s="103">
        <f>SUM(D12:D16)*1.2</f>
        <v>30</v>
      </c>
      <c r="E17" s="103">
        <f>SUM(E12:E16)*1.5</f>
        <v>19.5</v>
      </c>
      <c r="F17" s="103">
        <f t="shared" ref="F17:G17" si="4">SUM(F12:F16)*2</f>
        <v>14</v>
      </c>
      <c r="G17" s="103">
        <f t="shared" si="4"/>
        <v>2</v>
      </c>
      <c r="H17" s="104">
        <f>SUM(H12:H16) *-1</f>
        <v>-14</v>
      </c>
      <c r="I17" s="105">
        <f>SUM(C17:H17)</f>
        <v>161.5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170.7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84</v>
      </c>
      <c r="C21" s="60">
        <v>39.0</v>
      </c>
      <c r="D21" s="60">
        <v>5.0</v>
      </c>
      <c r="E21" s="60">
        <v>12.0</v>
      </c>
      <c r="F21" s="60">
        <v>0.0</v>
      </c>
      <c r="G21" s="60">
        <v>0.0</v>
      </c>
      <c r="H21" s="71">
        <v>1.0</v>
      </c>
      <c r="I21" s="73">
        <f t="shared" ref="I21:I25" si="5">sum(C21+1.2*D21+1.5*E21+2*F21+2*G21)-H21</f>
        <v>62</v>
      </c>
    </row>
    <row r="22">
      <c r="A22" s="76" t="s">
        <v>215</v>
      </c>
      <c r="B22" s="36" t="s">
        <v>94</v>
      </c>
      <c r="C22" s="60">
        <v>11.0</v>
      </c>
      <c r="D22" s="60">
        <v>3.0</v>
      </c>
      <c r="E22" s="60">
        <v>1.0</v>
      </c>
      <c r="F22" s="60">
        <v>4.0</v>
      </c>
      <c r="G22" s="60">
        <v>0.0</v>
      </c>
      <c r="H22" s="71">
        <v>2.0</v>
      </c>
      <c r="I22" s="73">
        <f t="shared" si="5"/>
        <v>22.1</v>
      </c>
    </row>
    <row r="23">
      <c r="A23" s="76" t="s">
        <v>216</v>
      </c>
      <c r="B23" s="76" t="s">
        <v>70</v>
      </c>
      <c r="C23" s="60">
        <v>23.0</v>
      </c>
      <c r="D23" s="60">
        <v>11.0</v>
      </c>
      <c r="E23" s="60">
        <v>1.0</v>
      </c>
      <c r="F23" s="60">
        <v>0.0</v>
      </c>
      <c r="G23" s="60">
        <v>1.0</v>
      </c>
      <c r="H23" s="71">
        <v>4.0</v>
      </c>
      <c r="I23" s="73">
        <f t="shared" si="5"/>
        <v>35.7</v>
      </c>
    </row>
    <row r="24">
      <c r="A24" s="76" t="s">
        <v>216</v>
      </c>
      <c r="B24" s="36" t="s">
        <v>110</v>
      </c>
      <c r="C24" s="60">
        <v>10.0</v>
      </c>
      <c r="D24" s="60">
        <v>13.0</v>
      </c>
      <c r="E24" s="60">
        <v>2.0</v>
      </c>
      <c r="F24" s="60">
        <v>1.0</v>
      </c>
      <c r="G24" s="60">
        <v>1.0</v>
      </c>
      <c r="H24" s="71">
        <v>1.0</v>
      </c>
      <c r="I24" s="73">
        <f t="shared" si="5"/>
        <v>31.6</v>
      </c>
    </row>
    <row r="25">
      <c r="A25" s="76" t="s">
        <v>216</v>
      </c>
      <c r="B25" s="76" t="s">
        <v>107</v>
      </c>
      <c r="C25" s="60">
        <v>13.0</v>
      </c>
      <c r="D25" s="60">
        <v>4.0</v>
      </c>
      <c r="E25" s="60">
        <v>1.0</v>
      </c>
      <c r="F25" s="60">
        <v>2.0</v>
      </c>
      <c r="G25" s="60">
        <v>0.0</v>
      </c>
      <c r="H25" s="71">
        <v>4.0</v>
      </c>
      <c r="I25" s="73">
        <f t="shared" si="5"/>
        <v>19.3</v>
      </c>
    </row>
    <row r="26">
      <c r="A26" s="96"/>
      <c r="B26" s="108" t="s">
        <v>217</v>
      </c>
      <c r="C26" s="109">
        <f>SUM(C21:C25)</f>
        <v>96</v>
      </c>
      <c r="D26" s="109">
        <f>SUM(D21:D25)*1.2</f>
        <v>43.2</v>
      </c>
      <c r="E26" s="109">
        <f>SUM(E21:E25)*1.5</f>
        <v>25.5</v>
      </c>
      <c r="F26" s="109">
        <f t="shared" ref="F26:G26" si="6">SUM(F21:F25)*2</f>
        <v>14</v>
      </c>
      <c r="G26" s="109">
        <f t="shared" si="6"/>
        <v>4</v>
      </c>
      <c r="H26" s="109">
        <f>SUM(H21:H25) *-1</f>
        <v>-12</v>
      </c>
      <c r="I26" s="110">
        <f>SUM(C26:H26)</f>
        <v>170.7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122.1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129</v>
      </c>
      <c r="C30" s="60">
        <v>4.0</v>
      </c>
      <c r="D30" s="60">
        <v>4.0</v>
      </c>
      <c r="E30" s="60">
        <v>3.0</v>
      </c>
      <c r="F30" s="60">
        <v>1.0</v>
      </c>
      <c r="G30" s="60">
        <v>0.0</v>
      </c>
      <c r="H30" s="71">
        <v>0.0</v>
      </c>
      <c r="I30" s="73">
        <f t="shared" ref="I30:I34" si="7">sum(C30+1.2*D30+1.5*E30+2*F30+2*G30)-H30</f>
        <v>15.3</v>
      </c>
    </row>
    <row r="31">
      <c r="A31" s="76" t="s">
        <v>215</v>
      </c>
      <c r="B31" s="36" t="s">
        <v>119</v>
      </c>
      <c r="C31" s="60">
        <v>12.0</v>
      </c>
      <c r="D31" s="60">
        <v>0.0</v>
      </c>
      <c r="E31" s="60">
        <v>0.0</v>
      </c>
      <c r="F31" s="60">
        <v>1.0</v>
      </c>
      <c r="G31" s="60">
        <v>0.0</v>
      </c>
      <c r="H31" s="71">
        <v>1.0</v>
      </c>
      <c r="I31" s="73">
        <f t="shared" si="7"/>
        <v>13</v>
      </c>
    </row>
    <row r="32">
      <c r="A32" s="76" t="s">
        <v>216</v>
      </c>
      <c r="B32" s="36" t="s">
        <v>88</v>
      </c>
      <c r="C32" s="60">
        <v>31.0</v>
      </c>
      <c r="D32" s="60">
        <v>5.0</v>
      </c>
      <c r="E32" s="60">
        <v>3.0</v>
      </c>
      <c r="F32" s="60">
        <v>1.0</v>
      </c>
      <c r="G32" s="60">
        <v>1.0</v>
      </c>
      <c r="H32" s="71">
        <v>4.0</v>
      </c>
      <c r="I32" s="73">
        <f t="shared" si="7"/>
        <v>41.5</v>
      </c>
    </row>
    <row r="33">
      <c r="A33" s="76" t="s">
        <v>216</v>
      </c>
      <c r="B33" s="76" t="s">
        <v>76</v>
      </c>
      <c r="C33" s="60">
        <v>14.0</v>
      </c>
      <c r="D33" s="60">
        <v>6.0</v>
      </c>
      <c r="E33" s="60">
        <v>3.0</v>
      </c>
      <c r="F33" s="60">
        <v>0.0</v>
      </c>
      <c r="G33" s="60">
        <v>1.0</v>
      </c>
      <c r="H33" s="71">
        <v>2.0</v>
      </c>
      <c r="I33" s="73">
        <f t="shared" si="7"/>
        <v>25.7</v>
      </c>
    </row>
    <row r="34">
      <c r="A34" s="76" t="s">
        <v>216</v>
      </c>
      <c r="B34" s="70" t="s">
        <v>82</v>
      </c>
      <c r="C34" s="68">
        <v>20.0</v>
      </c>
      <c r="D34" s="68">
        <v>3.0</v>
      </c>
      <c r="E34" s="68">
        <v>2.0</v>
      </c>
      <c r="F34" s="68">
        <v>0.0</v>
      </c>
      <c r="G34" s="68">
        <v>0.0</v>
      </c>
      <c r="H34" s="79">
        <v>0.0</v>
      </c>
      <c r="I34" s="73">
        <f t="shared" si="7"/>
        <v>26.6</v>
      </c>
    </row>
    <row r="35">
      <c r="A35" s="96"/>
      <c r="B35" s="108" t="s">
        <v>217</v>
      </c>
      <c r="C35" s="109">
        <f>SUM(C30:C34)</f>
        <v>81</v>
      </c>
      <c r="D35" s="109">
        <f>SUM(D30:D34)*1.2</f>
        <v>21.6</v>
      </c>
      <c r="E35" s="109">
        <f>SUM(E30:E34)*1.5</f>
        <v>16.5</v>
      </c>
      <c r="F35" s="109">
        <f t="shared" ref="F35:G35" si="8">SUM(F30:F34)*2</f>
        <v>6</v>
      </c>
      <c r="G35" s="109">
        <f t="shared" si="8"/>
        <v>4</v>
      </c>
      <c r="H35" s="109">
        <f>SUM(H30:H34) *-1</f>
        <v>-7</v>
      </c>
      <c r="I35" s="110">
        <f>SUM(C35:H35)</f>
        <v>122.1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>
        <f>I8</f>
        <v>138.7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83</v>
      </c>
      <c r="C3" s="60">
        <v>7.0</v>
      </c>
      <c r="D3" s="60">
        <v>4.0</v>
      </c>
      <c r="E3" s="60">
        <v>7.0</v>
      </c>
      <c r="F3" s="60">
        <v>2.0</v>
      </c>
      <c r="G3" s="60">
        <v>0.0</v>
      </c>
      <c r="H3" s="71">
        <v>0.0</v>
      </c>
      <c r="I3" s="72">
        <f t="shared" ref="I3:I7" si="1">sum(C3+1.2*D3+1.5*E3+2*F3+2*G3)-H3</f>
        <v>26.3</v>
      </c>
    </row>
    <row r="4">
      <c r="A4" s="76" t="s">
        <v>215</v>
      </c>
      <c r="B4" s="76" t="s">
        <v>113</v>
      </c>
      <c r="C4" s="60">
        <v>17.0</v>
      </c>
      <c r="D4" s="60">
        <v>4.0</v>
      </c>
      <c r="E4" s="60">
        <v>2.0</v>
      </c>
      <c r="F4" s="60">
        <v>3.0</v>
      </c>
      <c r="G4" s="60">
        <v>1.0</v>
      </c>
      <c r="H4" s="71">
        <v>1.0</v>
      </c>
      <c r="I4" s="72">
        <f t="shared" si="1"/>
        <v>31.8</v>
      </c>
    </row>
    <row r="5">
      <c r="A5" s="76" t="s">
        <v>216</v>
      </c>
      <c r="B5" s="70" t="s">
        <v>66</v>
      </c>
      <c r="C5" s="60">
        <v>27.0</v>
      </c>
      <c r="D5" s="60">
        <v>13.0</v>
      </c>
      <c r="E5" s="60">
        <v>3.0</v>
      </c>
      <c r="F5" s="60">
        <v>4.0</v>
      </c>
      <c r="G5" s="60">
        <v>0.0</v>
      </c>
      <c r="H5" s="71">
        <v>2.0</v>
      </c>
      <c r="I5" s="72">
        <f t="shared" si="1"/>
        <v>53.1</v>
      </c>
    </row>
    <row r="6">
      <c r="A6" s="76" t="s">
        <v>216</v>
      </c>
      <c r="B6" s="76" t="s">
        <v>101</v>
      </c>
      <c r="C6" s="60">
        <v>8.0</v>
      </c>
      <c r="D6" s="60">
        <v>13.0</v>
      </c>
      <c r="E6" s="60">
        <v>0.0</v>
      </c>
      <c r="F6" s="60">
        <v>0.0</v>
      </c>
      <c r="G6" s="60">
        <v>0.0</v>
      </c>
      <c r="H6" s="71">
        <v>2.0</v>
      </c>
      <c r="I6" s="72">
        <f t="shared" si="1"/>
        <v>21.6</v>
      </c>
    </row>
    <row r="7">
      <c r="A7" s="76" t="s">
        <v>216</v>
      </c>
      <c r="B7" s="36" t="s">
        <v>105</v>
      </c>
      <c r="C7" s="77">
        <v>2.0</v>
      </c>
      <c r="D7" s="77">
        <v>2.0</v>
      </c>
      <c r="E7" s="77">
        <v>1.0</v>
      </c>
      <c r="F7" s="77">
        <v>0.0</v>
      </c>
      <c r="G7" s="77">
        <v>1.0</v>
      </c>
      <c r="H7" s="78">
        <v>2.0</v>
      </c>
      <c r="I7" s="72">
        <f t="shared" si="1"/>
        <v>5.9</v>
      </c>
    </row>
    <row r="8">
      <c r="A8" s="96"/>
      <c r="B8" s="102" t="s">
        <v>217</v>
      </c>
      <c r="C8" s="103">
        <f>SUM(C3:C7)</f>
        <v>61</v>
      </c>
      <c r="D8" s="103">
        <f>SUM(D3:D7)*1.2</f>
        <v>43.2</v>
      </c>
      <c r="E8" s="103">
        <f>SUM(E3:E7)*1.5</f>
        <v>19.5</v>
      </c>
      <c r="F8" s="103">
        <f t="shared" ref="F8:G8" si="2">SUM(F3:F7)*2</f>
        <v>18</v>
      </c>
      <c r="G8" s="103">
        <f t="shared" si="2"/>
        <v>4</v>
      </c>
      <c r="H8" s="104">
        <f>SUM(H3:H7) *-1</f>
        <v>-7</v>
      </c>
      <c r="I8" s="105">
        <f>SUM(C8:H8)</f>
        <v>138.7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122.2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25.0</v>
      </c>
      <c r="D12" s="60">
        <v>6.0</v>
      </c>
      <c r="E12" s="60">
        <v>6.0</v>
      </c>
      <c r="F12" s="60">
        <v>2.0</v>
      </c>
      <c r="G12" s="60">
        <v>0.0</v>
      </c>
      <c r="H12" s="71">
        <v>3.0</v>
      </c>
      <c r="I12" s="73">
        <f t="shared" ref="I12:I16" si="3">sum(C12+1.2*D12+1.5*E12+2*F12+2*G12)-H12</f>
        <v>42.2</v>
      </c>
    </row>
    <row r="13">
      <c r="A13" s="76" t="s">
        <v>215</v>
      </c>
      <c r="B13" s="76" t="s">
        <v>97</v>
      </c>
      <c r="C13" s="60">
        <v>6.0</v>
      </c>
      <c r="D13" s="60">
        <v>3.0</v>
      </c>
      <c r="E13" s="60">
        <v>1.0</v>
      </c>
      <c r="F13" s="60">
        <v>1.0</v>
      </c>
      <c r="G13" s="60">
        <v>0.0</v>
      </c>
      <c r="H13" s="71">
        <v>1.0</v>
      </c>
      <c r="I13" s="73">
        <f t="shared" si="3"/>
        <v>12.1</v>
      </c>
    </row>
    <row r="14">
      <c r="A14" s="76" t="s">
        <v>216</v>
      </c>
      <c r="B14" s="76" t="s">
        <v>91</v>
      </c>
      <c r="C14" s="60">
        <v>10.0</v>
      </c>
      <c r="D14" s="60">
        <v>5.0</v>
      </c>
      <c r="E14" s="60">
        <v>0.0</v>
      </c>
      <c r="F14" s="60">
        <v>1.0</v>
      </c>
      <c r="G14" s="60">
        <v>0.0</v>
      </c>
      <c r="H14" s="71">
        <v>2.0</v>
      </c>
      <c r="I14" s="73">
        <f t="shared" si="3"/>
        <v>16</v>
      </c>
    </row>
    <row r="15">
      <c r="A15" s="76" t="s">
        <v>216</v>
      </c>
      <c r="B15" s="76" t="s">
        <v>120</v>
      </c>
      <c r="C15" s="60">
        <v>12.0</v>
      </c>
      <c r="D15" s="60">
        <v>1.0</v>
      </c>
      <c r="E15" s="60">
        <v>4.0</v>
      </c>
      <c r="F15" s="60">
        <v>0.0</v>
      </c>
      <c r="G15" s="60">
        <v>0.0</v>
      </c>
      <c r="H15" s="71">
        <v>1.0</v>
      </c>
      <c r="I15" s="73">
        <f t="shared" si="3"/>
        <v>18.2</v>
      </c>
    </row>
    <row r="16">
      <c r="A16" s="76" t="s">
        <v>216</v>
      </c>
      <c r="B16" s="70" t="s">
        <v>111</v>
      </c>
      <c r="C16" s="77">
        <v>21.0</v>
      </c>
      <c r="D16" s="77">
        <v>6.0</v>
      </c>
      <c r="E16" s="77">
        <v>3.0</v>
      </c>
      <c r="F16" s="77">
        <v>1.0</v>
      </c>
      <c r="G16" s="77">
        <v>0.0</v>
      </c>
      <c r="H16" s="78">
        <v>1.0</v>
      </c>
      <c r="I16" s="73">
        <f t="shared" si="3"/>
        <v>33.7</v>
      </c>
    </row>
    <row r="17">
      <c r="A17" s="96"/>
      <c r="B17" s="102" t="s">
        <v>217</v>
      </c>
      <c r="C17" s="103">
        <f>SUM(C12:C16)</f>
        <v>74</v>
      </c>
      <c r="D17" s="103">
        <f>SUM(D12:D16)*1.2</f>
        <v>25.2</v>
      </c>
      <c r="E17" s="103">
        <f>SUM(E12:E16)*1.5</f>
        <v>21</v>
      </c>
      <c r="F17" s="103">
        <f t="shared" ref="F17:G17" si="4">SUM(F12:F16)*2</f>
        <v>10</v>
      </c>
      <c r="G17" s="103">
        <f t="shared" si="4"/>
        <v>0</v>
      </c>
      <c r="H17" s="104">
        <f>SUM(H12:H16) *-1</f>
        <v>-8</v>
      </c>
      <c r="I17" s="105">
        <f>SUM(C17:H17)</f>
        <v>122.2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116.7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87</v>
      </c>
      <c r="C21" s="60">
        <v>12.0</v>
      </c>
      <c r="D21" s="60">
        <v>1.0</v>
      </c>
      <c r="E21" s="60">
        <v>0.0</v>
      </c>
      <c r="F21" s="60">
        <v>1.0</v>
      </c>
      <c r="G21" s="60">
        <v>1.0</v>
      </c>
      <c r="H21" s="71">
        <v>2.0</v>
      </c>
      <c r="I21" s="73">
        <f t="shared" ref="I21:I25" si="5">sum(C21+1.2*D21+1.5*E21+2*F21+2*G21)-H21</f>
        <v>15.2</v>
      </c>
    </row>
    <row r="22">
      <c r="A22" s="76" t="s">
        <v>215</v>
      </c>
      <c r="B22" s="36" t="s">
        <v>92</v>
      </c>
      <c r="C22" s="60">
        <v>11.0</v>
      </c>
      <c r="D22" s="60">
        <v>5.0</v>
      </c>
      <c r="E22" s="60">
        <v>5.0</v>
      </c>
      <c r="F22" s="60">
        <v>0.0</v>
      </c>
      <c r="G22" s="60">
        <v>0.0</v>
      </c>
      <c r="H22" s="71">
        <v>2.0</v>
      </c>
      <c r="I22" s="73">
        <f t="shared" si="5"/>
        <v>22.5</v>
      </c>
    </row>
    <row r="23">
      <c r="A23" s="76" t="s">
        <v>216</v>
      </c>
      <c r="B23" s="76" t="s">
        <v>114</v>
      </c>
      <c r="C23" s="60">
        <v>20.0</v>
      </c>
      <c r="D23" s="60">
        <v>7.0</v>
      </c>
      <c r="E23" s="60">
        <v>3.0</v>
      </c>
      <c r="F23" s="60">
        <v>0.0</v>
      </c>
      <c r="G23" s="60">
        <v>0.0</v>
      </c>
      <c r="H23" s="71">
        <v>1.0</v>
      </c>
      <c r="I23" s="73">
        <f t="shared" si="5"/>
        <v>31.9</v>
      </c>
    </row>
    <row r="24">
      <c r="A24" s="76" t="s">
        <v>216</v>
      </c>
      <c r="B24" s="36" t="s">
        <v>121</v>
      </c>
      <c r="C24" s="60">
        <v>8.0</v>
      </c>
      <c r="D24" s="60">
        <v>14.0</v>
      </c>
      <c r="E24" s="60">
        <v>3.0</v>
      </c>
      <c r="F24" s="60">
        <v>1.0</v>
      </c>
      <c r="G24" s="60">
        <v>1.0</v>
      </c>
      <c r="H24" s="71">
        <v>1.0</v>
      </c>
      <c r="I24" s="73">
        <f t="shared" si="5"/>
        <v>32.3</v>
      </c>
    </row>
    <row r="25">
      <c r="A25" s="76" t="s">
        <v>216</v>
      </c>
      <c r="B25" s="76" t="s">
        <v>85</v>
      </c>
      <c r="C25" s="60">
        <v>3.0</v>
      </c>
      <c r="D25" s="60">
        <v>9.0</v>
      </c>
      <c r="E25" s="60">
        <v>0.0</v>
      </c>
      <c r="F25" s="60">
        <v>0.0</v>
      </c>
      <c r="G25" s="60">
        <v>1.0</v>
      </c>
      <c r="H25" s="71">
        <v>1.0</v>
      </c>
      <c r="I25" s="73">
        <f t="shared" si="5"/>
        <v>14.8</v>
      </c>
    </row>
    <row r="26">
      <c r="A26" s="96"/>
      <c r="B26" s="108" t="s">
        <v>217</v>
      </c>
      <c r="C26" s="109">
        <f>SUM(C21:C25)</f>
        <v>54</v>
      </c>
      <c r="D26" s="109">
        <f>SUM(D21:D25)*1.2</f>
        <v>43.2</v>
      </c>
      <c r="E26" s="109">
        <f>SUM(E21:E25)*1.5</f>
        <v>16.5</v>
      </c>
      <c r="F26" s="109">
        <f t="shared" ref="F26:G26" si="6">SUM(F21:F25)*2</f>
        <v>4</v>
      </c>
      <c r="G26" s="109">
        <f t="shared" si="6"/>
        <v>6</v>
      </c>
      <c r="H26" s="109">
        <f>SUM(H21:H25) *-1</f>
        <v>-7</v>
      </c>
      <c r="I26" s="110">
        <f>SUM(C26:H26)</f>
        <v>116.7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149.5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17.0</v>
      </c>
      <c r="D30" s="60">
        <v>4.0</v>
      </c>
      <c r="E30" s="60">
        <v>5.0</v>
      </c>
      <c r="F30" s="60">
        <v>1.0</v>
      </c>
      <c r="G30" s="60">
        <v>0.0</v>
      </c>
      <c r="H30" s="71">
        <v>4.0</v>
      </c>
      <c r="I30" s="73">
        <f t="shared" ref="I30:I34" si="7">sum(C30+1.2*D30+1.5*E30+2*F30+2*G30)-H30</f>
        <v>27.3</v>
      </c>
    </row>
    <row r="31">
      <c r="A31" s="76" t="s">
        <v>215</v>
      </c>
      <c r="B31" s="36" t="s">
        <v>44</v>
      </c>
      <c r="C31" s="60">
        <v>21.0</v>
      </c>
      <c r="D31" s="60">
        <v>1.0</v>
      </c>
      <c r="E31" s="60">
        <v>6.0</v>
      </c>
      <c r="F31" s="60">
        <v>1.0</v>
      </c>
      <c r="G31" s="60">
        <v>0.0</v>
      </c>
      <c r="H31" s="71">
        <v>3.0</v>
      </c>
      <c r="I31" s="73">
        <f t="shared" si="7"/>
        <v>30.2</v>
      </c>
    </row>
    <row r="32">
      <c r="A32" s="76" t="s">
        <v>216</v>
      </c>
      <c r="B32" s="36" t="s">
        <v>80</v>
      </c>
      <c r="C32" s="60">
        <v>10.0</v>
      </c>
      <c r="D32" s="60">
        <v>3.0</v>
      </c>
      <c r="E32" s="60">
        <v>5.0</v>
      </c>
      <c r="F32" s="60">
        <v>3.0</v>
      </c>
      <c r="G32" s="60">
        <v>1.0</v>
      </c>
      <c r="H32" s="71">
        <v>1.0</v>
      </c>
      <c r="I32" s="73">
        <f t="shared" si="7"/>
        <v>28.1</v>
      </c>
    </row>
    <row r="33">
      <c r="A33" s="76" t="s">
        <v>216</v>
      </c>
      <c r="B33" s="76" t="s">
        <v>58</v>
      </c>
      <c r="C33" s="60">
        <v>15.0</v>
      </c>
      <c r="D33" s="60">
        <v>16.0</v>
      </c>
      <c r="E33" s="60">
        <v>6.0</v>
      </c>
      <c r="F33" s="60">
        <v>0.0</v>
      </c>
      <c r="G33" s="60">
        <v>1.0</v>
      </c>
      <c r="H33" s="71">
        <v>4.0</v>
      </c>
      <c r="I33" s="73">
        <f t="shared" si="7"/>
        <v>41.2</v>
      </c>
    </row>
    <row r="34">
      <c r="A34" s="76" t="s">
        <v>216</v>
      </c>
      <c r="B34" s="70" t="s">
        <v>102</v>
      </c>
      <c r="C34" s="68">
        <v>11.0</v>
      </c>
      <c r="D34" s="68">
        <v>6.0</v>
      </c>
      <c r="E34" s="68">
        <v>3.0</v>
      </c>
      <c r="F34" s="68">
        <v>1.0</v>
      </c>
      <c r="G34" s="68">
        <v>0.0</v>
      </c>
      <c r="H34" s="79">
        <v>2.0</v>
      </c>
      <c r="I34" s="73">
        <f t="shared" si="7"/>
        <v>22.7</v>
      </c>
    </row>
    <row r="35">
      <c r="A35" s="96"/>
      <c r="B35" s="108" t="s">
        <v>217</v>
      </c>
      <c r="C35" s="109">
        <f>SUM(C30:C34)</f>
        <v>74</v>
      </c>
      <c r="D35" s="109">
        <f>SUM(D30:D34)*1.2</f>
        <v>36</v>
      </c>
      <c r="E35" s="109">
        <f>SUM(E30:E34)*1.5</f>
        <v>37.5</v>
      </c>
      <c r="F35" s="109">
        <f t="shared" ref="F35:G35" si="8">SUM(F30:F34)*2</f>
        <v>12</v>
      </c>
      <c r="G35" s="109">
        <f t="shared" si="8"/>
        <v>4</v>
      </c>
      <c r="H35" s="109">
        <f>SUM(H30:H34) *-1</f>
        <v>-14</v>
      </c>
      <c r="I35" s="110">
        <f>SUM(C35:H35)</f>
        <v>149.5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122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78</v>
      </c>
      <c r="C3" s="60">
        <v>36.0</v>
      </c>
      <c r="D3" s="60">
        <v>4.0</v>
      </c>
      <c r="E3" s="60">
        <v>4.0</v>
      </c>
      <c r="F3" s="60">
        <v>0.0</v>
      </c>
      <c r="G3" s="60">
        <v>1.0</v>
      </c>
      <c r="H3" s="71">
        <v>3.0</v>
      </c>
      <c r="I3" s="72">
        <f t="shared" ref="I3:I7" si="1">sum(C3+1.2*D3+1.5*E3+2*F3+2*G3)-H3</f>
        <v>45.8</v>
      </c>
    </row>
    <row r="4">
      <c r="A4" s="76" t="s">
        <v>215</v>
      </c>
      <c r="B4" s="76" t="s">
        <v>93</v>
      </c>
      <c r="C4" s="60">
        <v>17.0</v>
      </c>
      <c r="D4" s="60">
        <v>5.0</v>
      </c>
      <c r="E4" s="60">
        <v>2.0</v>
      </c>
      <c r="F4" s="60">
        <v>1.0</v>
      </c>
      <c r="G4" s="60">
        <v>1.0</v>
      </c>
      <c r="H4" s="71">
        <v>0.0</v>
      </c>
      <c r="I4" s="72">
        <f t="shared" si="1"/>
        <v>30</v>
      </c>
    </row>
    <row r="5">
      <c r="A5" s="76" t="s">
        <v>216</v>
      </c>
      <c r="B5" s="70" t="s">
        <v>82</v>
      </c>
      <c r="C5" s="60">
        <v>2.0</v>
      </c>
      <c r="D5" s="60">
        <v>2.0</v>
      </c>
      <c r="E5" s="60">
        <v>1.0</v>
      </c>
      <c r="F5" s="60">
        <v>0.0</v>
      </c>
      <c r="G5" s="60">
        <v>0.0</v>
      </c>
      <c r="H5" s="71">
        <v>1.0</v>
      </c>
      <c r="I5" s="72">
        <f t="shared" si="1"/>
        <v>4.9</v>
      </c>
    </row>
    <row r="6">
      <c r="A6" s="76" t="s">
        <v>216</v>
      </c>
      <c r="B6" s="76" t="s">
        <v>133</v>
      </c>
      <c r="C6" s="60">
        <v>9.0</v>
      </c>
      <c r="D6" s="60">
        <v>3.0</v>
      </c>
      <c r="E6" s="60">
        <v>2.0</v>
      </c>
      <c r="F6" s="60">
        <v>0.0</v>
      </c>
      <c r="G6" s="60">
        <v>0.0</v>
      </c>
      <c r="H6" s="71">
        <v>2.0</v>
      </c>
      <c r="I6" s="72">
        <f t="shared" si="1"/>
        <v>13.6</v>
      </c>
    </row>
    <row r="7">
      <c r="A7" s="76" t="s">
        <v>216</v>
      </c>
      <c r="B7" s="36" t="s">
        <v>110</v>
      </c>
      <c r="C7" s="77">
        <v>15.0</v>
      </c>
      <c r="D7" s="77">
        <v>6.0</v>
      </c>
      <c r="E7" s="77">
        <v>1.0</v>
      </c>
      <c r="F7" s="77">
        <v>1.0</v>
      </c>
      <c r="G7" s="77">
        <v>2.0</v>
      </c>
      <c r="H7" s="78">
        <v>2.0</v>
      </c>
      <c r="I7" s="72">
        <f t="shared" si="1"/>
        <v>27.7</v>
      </c>
    </row>
    <row r="8">
      <c r="A8" s="96"/>
      <c r="B8" s="102" t="s">
        <v>217</v>
      </c>
      <c r="C8" s="103">
        <f>SUM(C3:C7)</f>
        <v>79</v>
      </c>
      <c r="D8" s="103">
        <f>SUM(D3:D7)*1.2</f>
        <v>24</v>
      </c>
      <c r="E8" s="103">
        <f>SUM(E3:E7)*1.5</f>
        <v>15</v>
      </c>
      <c r="F8" s="103">
        <f t="shared" ref="F8:G8" si="2">SUM(F3:F7)*2</f>
        <v>4</v>
      </c>
      <c r="G8" s="103">
        <f t="shared" si="2"/>
        <v>8</v>
      </c>
      <c r="H8" s="104">
        <f>SUM(H3:H7) *-1</f>
        <v>-8</v>
      </c>
      <c r="I8" s="105">
        <f>SUM(C8:H8)</f>
        <v>122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121.5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129</v>
      </c>
      <c r="C12" s="60">
        <v>8.0</v>
      </c>
      <c r="D12" s="60">
        <v>2.0</v>
      </c>
      <c r="E12" s="60">
        <v>4.0</v>
      </c>
      <c r="F12" s="60">
        <v>1.0</v>
      </c>
      <c r="G12" s="60">
        <v>0.0</v>
      </c>
      <c r="H12" s="71">
        <v>3.0</v>
      </c>
      <c r="I12" s="73">
        <f t="shared" ref="I12:I16" si="3">sum(C12+1.2*D12+1.5*E12+2*F12+2*G12)-H12</f>
        <v>15.4</v>
      </c>
    </row>
    <row r="13">
      <c r="A13" s="76" t="s">
        <v>215</v>
      </c>
      <c r="B13" s="76" t="s">
        <v>127</v>
      </c>
      <c r="C13" s="60">
        <v>2.0</v>
      </c>
      <c r="D13" s="60">
        <v>2.0</v>
      </c>
      <c r="E13" s="60">
        <v>0.0</v>
      </c>
      <c r="F13" s="60">
        <v>0.0</v>
      </c>
      <c r="G13" s="60">
        <v>0.0</v>
      </c>
      <c r="H13" s="71">
        <v>3.0</v>
      </c>
      <c r="I13" s="73">
        <f t="shared" si="3"/>
        <v>1.4</v>
      </c>
    </row>
    <row r="14">
      <c r="A14" s="76" t="s">
        <v>216</v>
      </c>
      <c r="B14" s="76" t="s">
        <v>69</v>
      </c>
      <c r="C14" s="60">
        <v>22.0</v>
      </c>
      <c r="D14" s="60">
        <v>9.0</v>
      </c>
      <c r="E14" s="60">
        <v>7.0</v>
      </c>
      <c r="F14" s="60">
        <v>2.0</v>
      </c>
      <c r="G14" s="60">
        <v>0.0</v>
      </c>
      <c r="H14" s="71">
        <v>3.0</v>
      </c>
      <c r="I14" s="73">
        <f t="shared" si="3"/>
        <v>44.3</v>
      </c>
    </row>
    <row r="15">
      <c r="A15" s="76" t="s">
        <v>216</v>
      </c>
      <c r="B15" s="76" t="s">
        <v>98</v>
      </c>
      <c r="C15" s="60">
        <v>19.0</v>
      </c>
      <c r="D15" s="60">
        <v>6.0</v>
      </c>
      <c r="E15" s="60">
        <v>5.0</v>
      </c>
      <c r="F15" s="60">
        <v>1.0</v>
      </c>
      <c r="G15" s="60">
        <v>1.0</v>
      </c>
      <c r="H15" s="71">
        <v>2.0</v>
      </c>
      <c r="I15" s="73">
        <f t="shared" si="3"/>
        <v>35.7</v>
      </c>
    </row>
    <row r="16">
      <c r="A16" s="76" t="s">
        <v>216</v>
      </c>
      <c r="B16" s="70" t="s">
        <v>89</v>
      </c>
      <c r="C16" s="77">
        <v>10.0</v>
      </c>
      <c r="D16" s="77">
        <v>6.0</v>
      </c>
      <c r="E16" s="77">
        <v>3.0</v>
      </c>
      <c r="F16" s="77">
        <v>0.0</v>
      </c>
      <c r="G16" s="77">
        <v>2.0</v>
      </c>
      <c r="H16" s="78">
        <v>1.0</v>
      </c>
      <c r="I16" s="73">
        <f t="shared" si="3"/>
        <v>24.7</v>
      </c>
    </row>
    <row r="17">
      <c r="A17" s="96"/>
      <c r="B17" s="102" t="s">
        <v>217</v>
      </c>
      <c r="C17" s="103">
        <f>SUM(C12:C16)</f>
        <v>61</v>
      </c>
      <c r="D17" s="103">
        <f>SUM(D12:D16)*1.2</f>
        <v>30</v>
      </c>
      <c r="E17" s="103">
        <f>SUM(E12:E16)*1.5</f>
        <v>28.5</v>
      </c>
      <c r="F17" s="103">
        <f t="shared" ref="F17:G17" si="4">SUM(F12:F16)*2</f>
        <v>8</v>
      </c>
      <c r="G17" s="103">
        <f t="shared" si="4"/>
        <v>6</v>
      </c>
      <c r="H17" s="104">
        <f>SUM(H12:H16) *-1</f>
        <v>-12</v>
      </c>
      <c r="I17" s="105">
        <f>SUM(C17:H17)</f>
        <v>121.5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138.6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84</v>
      </c>
      <c r="C21" s="60">
        <v>27.0</v>
      </c>
      <c r="D21" s="60">
        <v>4.0</v>
      </c>
      <c r="E21" s="60">
        <v>7.0</v>
      </c>
      <c r="F21" s="60">
        <v>1.0</v>
      </c>
      <c r="G21" s="60">
        <v>0.0</v>
      </c>
      <c r="H21" s="71">
        <v>4.0</v>
      </c>
      <c r="I21" s="73">
        <f t="shared" ref="I21:I25" si="5">sum(C21+1.2*D21+1.5*E21+2*F21+2*G21)-H21</f>
        <v>40.3</v>
      </c>
    </row>
    <row r="22">
      <c r="A22" s="76" t="s">
        <v>215</v>
      </c>
      <c r="B22" s="36" t="s">
        <v>100</v>
      </c>
      <c r="C22" s="60">
        <v>12.0</v>
      </c>
      <c r="D22" s="60">
        <v>3.0</v>
      </c>
      <c r="E22" s="60">
        <v>2.0</v>
      </c>
      <c r="F22" s="60">
        <v>2.0</v>
      </c>
      <c r="G22" s="60">
        <v>0.0</v>
      </c>
      <c r="H22" s="71">
        <v>2.0</v>
      </c>
      <c r="I22" s="73">
        <f t="shared" si="5"/>
        <v>20.6</v>
      </c>
    </row>
    <row r="23">
      <c r="A23" s="76" t="s">
        <v>216</v>
      </c>
      <c r="B23" s="76" t="s">
        <v>70</v>
      </c>
      <c r="C23" s="60">
        <v>21.0</v>
      </c>
      <c r="D23" s="60">
        <v>15.0</v>
      </c>
      <c r="E23" s="60">
        <v>0.0</v>
      </c>
      <c r="F23" s="60">
        <v>0.0</v>
      </c>
      <c r="G23" s="60">
        <v>0.0</v>
      </c>
      <c r="H23" s="71">
        <v>1.0</v>
      </c>
      <c r="I23" s="73">
        <f t="shared" si="5"/>
        <v>38</v>
      </c>
    </row>
    <row r="24">
      <c r="A24" s="76" t="s">
        <v>216</v>
      </c>
      <c r="B24" s="36" t="s">
        <v>126</v>
      </c>
      <c r="C24" s="60">
        <v>2.0</v>
      </c>
      <c r="D24" s="60">
        <v>2.0</v>
      </c>
      <c r="E24" s="60">
        <v>4.0</v>
      </c>
      <c r="F24" s="60">
        <v>2.0</v>
      </c>
      <c r="G24" s="60">
        <v>0.0</v>
      </c>
      <c r="H24" s="71">
        <v>5.0</v>
      </c>
      <c r="I24" s="73">
        <f t="shared" si="5"/>
        <v>9.4</v>
      </c>
    </row>
    <row r="25">
      <c r="A25" s="76" t="s">
        <v>216</v>
      </c>
      <c r="B25" s="76" t="s">
        <v>107</v>
      </c>
      <c r="C25" s="60">
        <v>14.0</v>
      </c>
      <c r="D25" s="60">
        <v>4.0</v>
      </c>
      <c r="E25" s="60">
        <v>5.0</v>
      </c>
      <c r="F25" s="60">
        <v>0.0</v>
      </c>
      <c r="G25" s="60">
        <v>2.0</v>
      </c>
      <c r="H25" s="71">
        <v>0.0</v>
      </c>
      <c r="I25" s="73">
        <f t="shared" si="5"/>
        <v>30.3</v>
      </c>
    </row>
    <row r="26">
      <c r="A26" s="96"/>
      <c r="B26" s="108" t="s">
        <v>217</v>
      </c>
      <c r="C26" s="109">
        <f>SUM(C21:C25)</f>
        <v>76</v>
      </c>
      <c r="D26" s="109">
        <f>SUM(D21:D25)*1.2</f>
        <v>33.6</v>
      </c>
      <c r="E26" s="109">
        <f>SUM(E21:E25)*1.5</f>
        <v>27</v>
      </c>
      <c r="F26" s="109">
        <f t="shared" ref="F26:G26" si="6">SUM(F21:F25)*2</f>
        <v>10</v>
      </c>
      <c r="G26" s="109">
        <f t="shared" si="6"/>
        <v>4</v>
      </c>
      <c r="H26" s="109">
        <f>SUM(H21:H25) *-1</f>
        <v>-12</v>
      </c>
      <c r="I26" s="110">
        <f>SUM(C26:H26)</f>
        <v>138.6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186.9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94</v>
      </c>
      <c r="C30" s="60">
        <v>5.0</v>
      </c>
      <c r="D30" s="60">
        <v>8.0</v>
      </c>
      <c r="E30" s="60">
        <v>2.0</v>
      </c>
      <c r="F30" s="60">
        <v>1.0</v>
      </c>
      <c r="G30" s="60">
        <v>0.0</v>
      </c>
      <c r="H30" s="71">
        <v>1.0</v>
      </c>
      <c r="I30" s="73">
        <f t="shared" ref="I30:I34" si="7">sum(C30+1.2*D30+1.5*E30+2*F30+2*G30)-H30</f>
        <v>18.6</v>
      </c>
    </row>
    <row r="31">
      <c r="A31" s="76" t="s">
        <v>215</v>
      </c>
      <c r="B31" s="36" t="s">
        <v>119</v>
      </c>
      <c r="C31" s="60">
        <v>23.0</v>
      </c>
      <c r="D31" s="60">
        <v>4.0</v>
      </c>
      <c r="E31" s="60">
        <v>2.0</v>
      </c>
      <c r="F31" s="60">
        <v>1.0</v>
      </c>
      <c r="G31" s="60">
        <v>0.0</v>
      </c>
      <c r="H31" s="71">
        <v>0.0</v>
      </c>
      <c r="I31" s="73">
        <f t="shared" si="7"/>
        <v>32.8</v>
      </c>
    </row>
    <row r="32">
      <c r="A32" s="76" t="s">
        <v>216</v>
      </c>
      <c r="B32" s="36" t="s">
        <v>76</v>
      </c>
      <c r="C32" s="60">
        <v>33.0</v>
      </c>
      <c r="D32" s="60">
        <v>7.0</v>
      </c>
      <c r="E32" s="60">
        <v>7.0</v>
      </c>
      <c r="F32" s="60">
        <v>0.0</v>
      </c>
      <c r="G32" s="60">
        <v>0.0</v>
      </c>
      <c r="H32" s="71">
        <v>4.0</v>
      </c>
      <c r="I32" s="73">
        <f t="shared" si="7"/>
        <v>47.9</v>
      </c>
    </row>
    <row r="33">
      <c r="A33" s="76" t="s">
        <v>216</v>
      </c>
      <c r="B33" s="76" t="s">
        <v>88</v>
      </c>
      <c r="C33" s="60">
        <v>24.0</v>
      </c>
      <c r="D33" s="60">
        <v>10.0</v>
      </c>
      <c r="E33" s="60">
        <v>12.0</v>
      </c>
      <c r="F33" s="60">
        <v>3.0</v>
      </c>
      <c r="G33" s="60">
        <v>0.0</v>
      </c>
      <c r="H33" s="71">
        <v>4.0</v>
      </c>
      <c r="I33" s="73">
        <f t="shared" si="7"/>
        <v>56</v>
      </c>
    </row>
    <row r="34">
      <c r="A34" s="76" t="s">
        <v>216</v>
      </c>
      <c r="B34" s="70" t="s">
        <v>81</v>
      </c>
      <c r="C34" s="68">
        <v>9.0</v>
      </c>
      <c r="D34" s="68">
        <v>13.0</v>
      </c>
      <c r="E34" s="68">
        <v>0.0</v>
      </c>
      <c r="F34" s="68">
        <v>0.0</v>
      </c>
      <c r="G34" s="68">
        <v>4.0</v>
      </c>
      <c r="H34" s="79">
        <v>1.0</v>
      </c>
      <c r="I34" s="73">
        <f t="shared" si="7"/>
        <v>31.6</v>
      </c>
    </row>
    <row r="35">
      <c r="A35" s="96"/>
      <c r="B35" s="108" t="s">
        <v>217</v>
      </c>
      <c r="C35" s="109">
        <f>SUM(C30:C34)</f>
        <v>94</v>
      </c>
      <c r="D35" s="109">
        <f>SUM(D30:D34)*1.2</f>
        <v>50.4</v>
      </c>
      <c r="E35" s="109">
        <f>SUM(E30:E34)*1.5</f>
        <v>34.5</v>
      </c>
      <c r="F35" s="109">
        <f t="shared" ref="F35:G35" si="8">SUM(F30:F34)*2</f>
        <v>10</v>
      </c>
      <c r="G35" s="109">
        <f t="shared" si="8"/>
        <v>8</v>
      </c>
      <c r="H35" s="109">
        <f>SUM(H30:H34) *-1</f>
        <v>-10</v>
      </c>
      <c r="I35" s="110">
        <f>SUM(C35:H35)</f>
        <v>186.9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184.9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72</v>
      </c>
      <c r="C3" s="60">
        <v>27.0</v>
      </c>
      <c r="D3" s="60">
        <v>4.0</v>
      </c>
      <c r="E3" s="60">
        <v>8.0</v>
      </c>
      <c r="F3" s="60">
        <v>4.0</v>
      </c>
      <c r="G3" s="60">
        <v>1.0</v>
      </c>
      <c r="H3" s="71">
        <v>2.0</v>
      </c>
      <c r="I3" s="72">
        <f t="shared" ref="I3:I7" si="1">sum(C3+1.2*D3+1.5*E3+2*F3+2*G3)-H3</f>
        <v>51.8</v>
      </c>
    </row>
    <row r="4">
      <c r="A4" s="76" t="s">
        <v>215</v>
      </c>
      <c r="B4" s="76" t="s">
        <v>83</v>
      </c>
      <c r="C4" s="60">
        <v>10.0</v>
      </c>
      <c r="D4" s="60">
        <v>4.0</v>
      </c>
      <c r="E4" s="60">
        <v>4.0</v>
      </c>
      <c r="F4" s="60">
        <v>1.0</v>
      </c>
      <c r="G4" s="60">
        <v>1.0</v>
      </c>
      <c r="H4" s="71">
        <v>3.0</v>
      </c>
      <c r="I4" s="72">
        <f t="shared" si="1"/>
        <v>21.8</v>
      </c>
    </row>
    <row r="5">
      <c r="A5" s="76" t="s">
        <v>216</v>
      </c>
      <c r="B5" s="70" t="s">
        <v>66</v>
      </c>
      <c r="C5" s="60">
        <v>20.0</v>
      </c>
      <c r="D5" s="60">
        <v>16.0</v>
      </c>
      <c r="E5" s="60">
        <v>6.0</v>
      </c>
      <c r="F5" s="60">
        <v>2.0</v>
      </c>
      <c r="G5" s="60">
        <v>2.0</v>
      </c>
      <c r="H5" s="71">
        <v>8.0</v>
      </c>
      <c r="I5" s="72">
        <f t="shared" si="1"/>
        <v>48.2</v>
      </c>
    </row>
    <row r="6">
      <c r="A6" s="76" t="s">
        <v>216</v>
      </c>
      <c r="B6" s="76" t="s">
        <v>101</v>
      </c>
      <c r="C6" s="60">
        <v>18.0</v>
      </c>
      <c r="D6" s="60">
        <v>16.0</v>
      </c>
      <c r="E6" s="60">
        <v>0.0</v>
      </c>
      <c r="F6" s="60">
        <v>1.0</v>
      </c>
      <c r="G6" s="60">
        <v>3.0</v>
      </c>
      <c r="H6" s="71">
        <v>3.0</v>
      </c>
      <c r="I6" s="72">
        <f t="shared" si="1"/>
        <v>42.2</v>
      </c>
    </row>
    <row r="7">
      <c r="A7" s="76" t="s">
        <v>216</v>
      </c>
      <c r="B7" s="36" t="s">
        <v>120</v>
      </c>
      <c r="C7" s="77">
        <v>7.0</v>
      </c>
      <c r="D7" s="77">
        <v>7.0</v>
      </c>
      <c r="E7" s="77">
        <v>1.0</v>
      </c>
      <c r="F7" s="77">
        <v>0.0</v>
      </c>
      <c r="G7" s="77">
        <v>2.0</v>
      </c>
      <c r="H7" s="78">
        <v>0.0</v>
      </c>
      <c r="I7" s="72">
        <f t="shared" si="1"/>
        <v>20.9</v>
      </c>
    </row>
    <row r="8">
      <c r="A8" s="96"/>
      <c r="B8" s="102" t="s">
        <v>217</v>
      </c>
      <c r="C8" s="103">
        <f>SUM(C3:C7)</f>
        <v>82</v>
      </c>
      <c r="D8" s="103">
        <f>SUM(D3:D7)*1.2</f>
        <v>56.4</v>
      </c>
      <c r="E8" s="103">
        <f>SUM(E3:E7)*1.5</f>
        <v>28.5</v>
      </c>
      <c r="F8" s="103">
        <f t="shared" ref="F8:G8" si="2">SUM(F3:F7)*2</f>
        <v>16</v>
      </c>
      <c r="G8" s="103">
        <f t="shared" si="2"/>
        <v>18</v>
      </c>
      <c r="H8" s="104">
        <f>SUM(H3:H7) *-1</f>
        <v>-16</v>
      </c>
      <c r="I8" s="105">
        <f>SUM(C8:H8)</f>
        <v>184.9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>
        <f>I17</f>
        <v>193.6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20.0</v>
      </c>
      <c r="D12" s="60">
        <v>9.0</v>
      </c>
      <c r="E12" s="60">
        <v>5.0</v>
      </c>
      <c r="F12" s="60">
        <v>3.0</v>
      </c>
      <c r="G12" s="60">
        <v>1.0</v>
      </c>
      <c r="H12" s="71">
        <v>1.0</v>
      </c>
      <c r="I12" s="73">
        <f t="shared" ref="I12:I16" si="3">sum(C12+1.2*D12+1.5*E12+2*F12+2*G12)-H12</f>
        <v>45.3</v>
      </c>
    </row>
    <row r="13">
      <c r="A13" s="76" t="s">
        <v>215</v>
      </c>
      <c r="B13" s="76" t="s">
        <v>97</v>
      </c>
      <c r="C13" s="60">
        <v>8.0</v>
      </c>
      <c r="D13" s="60">
        <v>1.0</v>
      </c>
      <c r="E13" s="60">
        <v>4.0</v>
      </c>
      <c r="F13" s="60">
        <v>2.0</v>
      </c>
      <c r="G13" s="60">
        <v>0.0</v>
      </c>
      <c r="H13" s="71">
        <v>0.0</v>
      </c>
      <c r="I13" s="73">
        <f t="shared" si="3"/>
        <v>19.2</v>
      </c>
    </row>
    <row r="14">
      <c r="A14" s="76" t="s">
        <v>216</v>
      </c>
      <c r="B14" s="76" t="s">
        <v>80</v>
      </c>
      <c r="C14" s="60">
        <v>32.0</v>
      </c>
      <c r="D14" s="60">
        <v>3.0</v>
      </c>
      <c r="E14" s="60">
        <v>5.0</v>
      </c>
      <c r="F14" s="60">
        <v>0.0</v>
      </c>
      <c r="G14" s="60">
        <v>0.0</v>
      </c>
      <c r="H14" s="71">
        <v>3.0</v>
      </c>
      <c r="I14" s="73">
        <f t="shared" si="3"/>
        <v>40.1</v>
      </c>
    </row>
    <row r="15">
      <c r="A15" s="76" t="s">
        <v>216</v>
      </c>
      <c r="B15" s="76" t="s">
        <v>105</v>
      </c>
      <c r="C15" s="60">
        <v>19.0</v>
      </c>
      <c r="D15" s="60">
        <v>12.0</v>
      </c>
      <c r="E15" s="60">
        <v>2.0</v>
      </c>
      <c r="F15" s="60">
        <v>0.0</v>
      </c>
      <c r="G15" s="60">
        <v>2.0</v>
      </c>
      <c r="H15" s="71">
        <v>3.0</v>
      </c>
      <c r="I15" s="73">
        <f t="shared" si="3"/>
        <v>37.4</v>
      </c>
    </row>
    <row r="16">
      <c r="A16" s="76" t="s">
        <v>216</v>
      </c>
      <c r="B16" s="70" t="s">
        <v>91</v>
      </c>
      <c r="C16" s="77">
        <v>18.0</v>
      </c>
      <c r="D16" s="77">
        <v>13.0</v>
      </c>
      <c r="E16" s="77">
        <v>4.0</v>
      </c>
      <c r="F16" s="77">
        <v>3.0</v>
      </c>
      <c r="G16" s="77">
        <v>3.0</v>
      </c>
      <c r="H16" s="78">
        <v>0.0</v>
      </c>
      <c r="I16" s="73">
        <f t="shared" si="3"/>
        <v>51.6</v>
      </c>
    </row>
    <row r="17">
      <c r="A17" s="96"/>
      <c r="B17" s="102" t="s">
        <v>217</v>
      </c>
      <c r="C17" s="103">
        <f>SUM(C12:C16)</f>
        <v>97</v>
      </c>
      <c r="D17" s="103">
        <f>SUM(D12:D16)*1.2</f>
        <v>45.6</v>
      </c>
      <c r="E17" s="103">
        <f>SUM(E12:E16)*1.5</f>
        <v>30</v>
      </c>
      <c r="F17" s="103">
        <f t="shared" ref="F17:G17" si="4">SUM(F12:F16)*2</f>
        <v>16</v>
      </c>
      <c r="G17" s="103">
        <f t="shared" si="4"/>
        <v>12</v>
      </c>
      <c r="H17" s="104">
        <f>SUM(H12:H16) *-1</f>
        <v>-7</v>
      </c>
      <c r="I17" s="105">
        <f>SUM(C17:H17)</f>
        <v>193.6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>
        <f>I26</f>
        <v>147.3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73</v>
      </c>
      <c r="C21" s="60">
        <v>18.0</v>
      </c>
      <c r="D21" s="60">
        <v>13.0</v>
      </c>
      <c r="E21" s="60">
        <v>7.0</v>
      </c>
      <c r="F21" s="60">
        <v>2.0</v>
      </c>
      <c r="G21" s="60">
        <v>0.0</v>
      </c>
      <c r="H21" s="71">
        <v>1.0</v>
      </c>
      <c r="I21" s="73">
        <f t="shared" ref="I21:I25" si="5">sum(C21+1.2*D21+1.5*E21+2*F21+2*G21)-H21</f>
        <v>47.1</v>
      </c>
    </row>
    <row r="22">
      <c r="A22" s="76" t="s">
        <v>215</v>
      </c>
      <c r="B22" s="36" t="s">
        <v>92</v>
      </c>
      <c r="C22" s="60">
        <v>4.0</v>
      </c>
      <c r="D22" s="60">
        <v>0.0</v>
      </c>
      <c r="E22" s="60">
        <v>5.0</v>
      </c>
      <c r="F22" s="60">
        <v>1.0</v>
      </c>
      <c r="G22" s="60">
        <v>0.0</v>
      </c>
      <c r="H22" s="71">
        <v>3.0</v>
      </c>
      <c r="I22" s="73">
        <f t="shared" si="5"/>
        <v>10.5</v>
      </c>
    </row>
    <row r="23">
      <c r="A23" s="76" t="s">
        <v>216</v>
      </c>
      <c r="B23" s="76" t="s">
        <v>88</v>
      </c>
      <c r="C23" s="60">
        <v>24.0</v>
      </c>
      <c r="D23" s="60">
        <v>7.0</v>
      </c>
      <c r="E23" s="60">
        <v>11.0</v>
      </c>
      <c r="F23" s="60">
        <v>0.0</v>
      </c>
      <c r="G23" s="60">
        <v>0.0</v>
      </c>
      <c r="H23" s="71">
        <v>2.0</v>
      </c>
      <c r="I23" s="73">
        <f t="shared" si="5"/>
        <v>46.9</v>
      </c>
    </row>
    <row r="24">
      <c r="A24" s="76" t="s">
        <v>216</v>
      </c>
      <c r="B24" s="36" t="s">
        <v>81</v>
      </c>
      <c r="C24" s="60">
        <v>5.0</v>
      </c>
      <c r="D24" s="60">
        <v>9.0</v>
      </c>
      <c r="E24" s="60">
        <v>0.0</v>
      </c>
      <c r="F24" s="60">
        <v>0.0</v>
      </c>
      <c r="G24" s="60">
        <v>0.0</v>
      </c>
      <c r="H24" s="71">
        <v>3.0</v>
      </c>
      <c r="I24" s="73">
        <f t="shared" si="5"/>
        <v>12.8</v>
      </c>
    </row>
    <row r="25">
      <c r="A25" s="76" t="s">
        <v>216</v>
      </c>
      <c r="B25" s="76" t="s">
        <v>121</v>
      </c>
      <c r="C25" s="60">
        <v>10.0</v>
      </c>
      <c r="D25" s="60">
        <v>10.0</v>
      </c>
      <c r="E25" s="60">
        <v>4.0</v>
      </c>
      <c r="F25" s="60">
        <v>1.0</v>
      </c>
      <c r="G25" s="60">
        <v>1.0</v>
      </c>
      <c r="H25" s="71">
        <v>2.0</v>
      </c>
      <c r="I25" s="73">
        <f t="shared" si="5"/>
        <v>30</v>
      </c>
    </row>
    <row r="26">
      <c r="A26" s="96"/>
      <c r="B26" s="108" t="s">
        <v>217</v>
      </c>
      <c r="C26" s="109">
        <f>SUM(C21:C25)</f>
        <v>61</v>
      </c>
      <c r="D26" s="109">
        <f>SUM(D21:D25)*1.2</f>
        <v>46.8</v>
      </c>
      <c r="E26" s="109">
        <f>SUM(E21:E25)*1.5</f>
        <v>40.5</v>
      </c>
      <c r="F26" s="109">
        <f t="shared" ref="F26:G26" si="6">SUM(F21:F25)*2</f>
        <v>8</v>
      </c>
      <c r="G26" s="109">
        <f t="shared" si="6"/>
        <v>2</v>
      </c>
      <c r="H26" s="109">
        <f>SUM(H21:H25) *-1</f>
        <v>-11</v>
      </c>
      <c r="I26" s="110">
        <f>SUM(C26:H26)</f>
        <v>147.3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156.3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87</v>
      </c>
      <c r="C30" s="60">
        <v>43.0</v>
      </c>
      <c r="D30" s="60">
        <v>9.0</v>
      </c>
      <c r="E30" s="60">
        <v>5.0</v>
      </c>
      <c r="F30" s="60">
        <v>1.0</v>
      </c>
      <c r="G30" s="60">
        <v>0.0</v>
      </c>
      <c r="H30" s="71">
        <v>2.0</v>
      </c>
      <c r="I30" s="73">
        <f t="shared" ref="I30:I34" si="7">sum(C30+1.2*D30+1.5*E30+2*F30+2*G30)-H30</f>
        <v>61.3</v>
      </c>
    </row>
    <row r="31">
      <c r="A31" s="76" t="s">
        <v>215</v>
      </c>
      <c r="B31" s="36" t="s">
        <v>44</v>
      </c>
      <c r="C31" s="60">
        <v>10.0</v>
      </c>
      <c r="D31" s="60">
        <v>1.0</v>
      </c>
      <c r="E31" s="60">
        <v>3.0</v>
      </c>
      <c r="F31" s="60">
        <v>0.0</v>
      </c>
      <c r="G31" s="60">
        <v>0.0</v>
      </c>
      <c r="H31" s="71">
        <v>4.0</v>
      </c>
      <c r="I31" s="73">
        <f t="shared" si="7"/>
        <v>11.7</v>
      </c>
    </row>
    <row r="32">
      <c r="A32" s="76" t="s">
        <v>216</v>
      </c>
      <c r="B32" s="36" t="s">
        <v>76</v>
      </c>
      <c r="C32" s="60">
        <v>17.0</v>
      </c>
      <c r="D32" s="60">
        <v>7.0</v>
      </c>
      <c r="E32" s="60">
        <v>4.0</v>
      </c>
      <c r="F32" s="60">
        <v>1.0</v>
      </c>
      <c r="G32" s="60">
        <v>0.0</v>
      </c>
      <c r="H32" s="71">
        <v>2.0</v>
      </c>
      <c r="I32" s="73">
        <f t="shared" si="7"/>
        <v>31.4</v>
      </c>
    </row>
    <row r="33">
      <c r="A33" s="76" t="s">
        <v>216</v>
      </c>
      <c r="B33" s="76" t="s">
        <v>111</v>
      </c>
      <c r="C33" s="60">
        <v>18.0</v>
      </c>
      <c r="D33" s="60">
        <v>4.0</v>
      </c>
      <c r="E33" s="60">
        <v>3.0</v>
      </c>
      <c r="F33" s="60">
        <v>0.0</v>
      </c>
      <c r="G33" s="60">
        <v>0.0</v>
      </c>
      <c r="H33" s="71">
        <v>1.0</v>
      </c>
      <c r="I33" s="73">
        <f t="shared" si="7"/>
        <v>26.3</v>
      </c>
    </row>
    <row r="34">
      <c r="A34" s="76" t="s">
        <v>216</v>
      </c>
      <c r="B34" s="70" t="s">
        <v>114</v>
      </c>
      <c r="C34" s="68">
        <v>15.0</v>
      </c>
      <c r="D34" s="68">
        <v>3.0</v>
      </c>
      <c r="E34" s="68">
        <v>0.0</v>
      </c>
      <c r="F34" s="68">
        <v>1.0</v>
      </c>
      <c r="G34" s="68">
        <v>3.0</v>
      </c>
      <c r="H34" s="79">
        <v>1.0</v>
      </c>
      <c r="I34" s="73">
        <f t="shared" si="7"/>
        <v>25.6</v>
      </c>
    </row>
    <row r="35">
      <c r="A35" s="96"/>
      <c r="B35" s="108" t="s">
        <v>217</v>
      </c>
      <c r="C35" s="109">
        <f>SUM(C30:C34)</f>
        <v>103</v>
      </c>
      <c r="D35" s="109">
        <f>SUM(D30:D34)*1.2</f>
        <v>28.8</v>
      </c>
      <c r="E35" s="109">
        <f>SUM(E30:E34)*1.5</f>
        <v>22.5</v>
      </c>
      <c r="F35" s="109">
        <f t="shared" ref="F35:G35" si="8">SUM(F30:F34)*2</f>
        <v>6</v>
      </c>
      <c r="G35" s="109">
        <f t="shared" si="8"/>
        <v>6</v>
      </c>
      <c r="H35" s="109">
        <f>SUM(H30:H34) *-1</f>
        <v>-10</v>
      </c>
      <c r="I35" s="110">
        <f>SUM(C35:H35)</f>
        <v>156.3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165.4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93</v>
      </c>
      <c r="C3" s="60">
        <v>20.0</v>
      </c>
      <c r="D3" s="60">
        <v>9.0</v>
      </c>
      <c r="E3" s="60">
        <v>5.0</v>
      </c>
      <c r="F3" s="60">
        <v>0.0</v>
      </c>
      <c r="G3" s="60">
        <v>2.0</v>
      </c>
      <c r="H3" s="71">
        <v>0.0</v>
      </c>
      <c r="I3" s="72">
        <f t="shared" ref="I3:I7" si="1">sum(C3+1.2*D3+1.5*E3+2*F3+2*G3)-H3</f>
        <v>42.3</v>
      </c>
    </row>
    <row r="4">
      <c r="A4" s="76" t="s">
        <v>215</v>
      </c>
      <c r="B4" s="76" t="s">
        <v>129</v>
      </c>
      <c r="C4" s="60">
        <v>10.0</v>
      </c>
      <c r="D4" s="60">
        <v>3.0</v>
      </c>
      <c r="E4" s="60">
        <v>5.0</v>
      </c>
      <c r="F4" s="60">
        <v>1.0</v>
      </c>
      <c r="G4" s="60">
        <v>0.0</v>
      </c>
      <c r="H4" s="71">
        <v>4.0</v>
      </c>
      <c r="I4" s="72">
        <f t="shared" si="1"/>
        <v>19.1</v>
      </c>
    </row>
    <row r="5">
      <c r="A5" s="76" t="s">
        <v>216</v>
      </c>
      <c r="B5" s="70" t="s">
        <v>66</v>
      </c>
      <c r="C5" s="60">
        <v>17.0</v>
      </c>
      <c r="D5" s="60">
        <v>8.0</v>
      </c>
      <c r="E5" s="60">
        <v>6.0</v>
      </c>
      <c r="F5" s="60">
        <v>1.0</v>
      </c>
      <c r="G5" s="60">
        <v>1.0</v>
      </c>
      <c r="H5" s="71">
        <v>6.0</v>
      </c>
      <c r="I5" s="72">
        <f t="shared" si="1"/>
        <v>33.6</v>
      </c>
    </row>
    <row r="6">
      <c r="A6" s="76" t="s">
        <v>216</v>
      </c>
      <c r="B6" s="76" t="s">
        <v>80</v>
      </c>
      <c r="C6" s="60">
        <v>17.0</v>
      </c>
      <c r="D6" s="60">
        <v>4.0</v>
      </c>
      <c r="E6" s="60">
        <v>7.0</v>
      </c>
      <c r="F6" s="60">
        <v>0.0</v>
      </c>
      <c r="G6" s="60">
        <v>2.0</v>
      </c>
      <c r="H6" s="71">
        <v>1.0</v>
      </c>
      <c r="I6" s="72">
        <f t="shared" si="1"/>
        <v>35.3</v>
      </c>
    </row>
    <row r="7">
      <c r="A7" s="76" t="s">
        <v>216</v>
      </c>
      <c r="B7" s="36" t="s">
        <v>121</v>
      </c>
      <c r="C7" s="77">
        <v>14.0</v>
      </c>
      <c r="D7" s="77">
        <v>8.0</v>
      </c>
      <c r="E7" s="77">
        <v>5.0</v>
      </c>
      <c r="F7" s="77">
        <v>1.0</v>
      </c>
      <c r="G7" s="77">
        <v>1.0</v>
      </c>
      <c r="H7" s="78">
        <v>0.0</v>
      </c>
      <c r="I7" s="72">
        <f t="shared" si="1"/>
        <v>35.1</v>
      </c>
    </row>
    <row r="8">
      <c r="A8" s="96"/>
      <c r="B8" s="102" t="s">
        <v>217</v>
      </c>
      <c r="C8" s="103">
        <f>SUM(C3:C7)</f>
        <v>78</v>
      </c>
      <c r="D8" s="103">
        <f>SUM(D3:D7)*1.2</f>
        <v>38.4</v>
      </c>
      <c r="E8" s="103">
        <f>SUM(E3:E7)*1.5</f>
        <v>42</v>
      </c>
      <c r="F8" s="103">
        <f t="shared" ref="F8:G8" si="2">SUM(F3:F7)*2</f>
        <v>6</v>
      </c>
      <c r="G8" s="103">
        <f t="shared" si="2"/>
        <v>12</v>
      </c>
      <c r="H8" s="104">
        <f>SUM(H3:H7) *-1</f>
        <v>-11</v>
      </c>
      <c r="I8" s="105">
        <f>SUM(C8:H8)</f>
        <v>165.4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>
        <f>I17</f>
        <v>123.2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72</v>
      </c>
      <c r="C12" s="60">
        <v>14.0</v>
      </c>
      <c r="D12" s="60">
        <v>4.0</v>
      </c>
      <c r="E12" s="60">
        <v>1.0</v>
      </c>
      <c r="F12" s="60">
        <v>0.0</v>
      </c>
      <c r="G12" s="60">
        <v>1.0</v>
      </c>
      <c r="H12" s="71">
        <v>2.0</v>
      </c>
      <c r="I12" s="73">
        <f t="shared" ref="I12:I16" si="3">sum(C12+1.2*D12+1.5*E12+2*F12+2*G12)-H12</f>
        <v>20.3</v>
      </c>
    </row>
    <row r="13">
      <c r="A13" s="76" t="s">
        <v>215</v>
      </c>
      <c r="B13" s="76" t="s">
        <v>113</v>
      </c>
      <c r="C13" s="60">
        <v>3.0</v>
      </c>
      <c r="D13" s="60">
        <v>2.0</v>
      </c>
      <c r="E13" s="60">
        <v>0.0</v>
      </c>
      <c r="F13" s="60">
        <v>0.0</v>
      </c>
      <c r="G13" s="60">
        <v>1.0</v>
      </c>
      <c r="H13" s="71">
        <v>2.0</v>
      </c>
      <c r="I13" s="73">
        <f t="shared" si="3"/>
        <v>5.4</v>
      </c>
    </row>
    <row r="14">
      <c r="A14" s="76" t="s">
        <v>216</v>
      </c>
      <c r="B14" s="76" t="s">
        <v>69</v>
      </c>
      <c r="C14" s="60">
        <v>13.0</v>
      </c>
      <c r="D14" s="60">
        <v>14.0</v>
      </c>
      <c r="E14" s="60">
        <v>5.0</v>
      </c>
      <c r="F14" s="60">
        <v>3.0</v>
      </c>
      <c r="G14" s="60">
        <v>1.0</v>
      </c>
      <c r="H14" s="71">
        <v>3.0</v>
      </c>
      <c r="I14" s="73">
        <f t="shared" si="3"/>
        <v>42.3</v>
      </c>
    </row>
    <row r="15">
      <c r="A15" s="76" t="s">
        <v>216</v>
      </c>
      <c r="B15" s="76" t="s">
        <v>101</v>
      </c>
      <c r="C15" s="60">
        <v>15.0</v>
      </c>
      <c r="D15" s="60">
        <v>11.0</v>
      </c>
      <c r="E15" s="60">
        <v>2.0</v>
      </c>
      <c r="F15" s="60">
        <v>2.0</v>
      </c>
      <c r="G15" s="60">
        <v>2.0</v>
      </c>
      <c r="H15" s="71">
        <v>0.0</v>
      </c>
      <c r="I15" s="73">
        <f t="shared" si="3"/>
        <v>39.2</v>
      </c>
    </row>
    <row r="16">
      <c r="A16" s="76" t="s">
        <v>216</v>
      </c>
      <c r="B16" s="70" t="s">
        <v>85</v>
      </c>
      <c r="C16" s="77">
        <v>8.0</v>
      </c>
      <c r="D16" s="77">
        <v>5.0</v>
      </c>
      <c r="E16" s="77">
        <v>0.0</v>
      </c>
      <c r="F16" s="77">
        <v>1.0</v>
      </c>
      <c r="G16" s="77">
        <v>0.0</v>
      </c>
      <c r="H16" s="78">
        <v>0.0</v>
      </c>
      <c r="I16" s="73">
        <f t="shared" si="3"/>
        <v>16</v>
      </c>
    </row>
    <row r="17">
      <c r="A17" s="96"/>
      <c r="B17" s="102" t="s">
        <v>217</v>
      </c>
      <c r="C17" s="103">
        <f>SUM(C12:C16)</f>
        <v>53</v>
      </c>
      <c r="D17" s="103">
        <f>SUM(D12:D16)*1.2</f>
        <v>43.2</v>
      </c>
      <c r="E17" s="103">
        <f>SUM(E12:E16)*1.5</f>
        <v>12</v>
      </c>
      <c r="F17" s="103">
        <f t="shared" ref="F17:G17" si="4">SUM(F12:F16)*2</f>
        <v>12</v>
      </c>
      <c r="G17" s="103">
        <f t="shared" si="4"/>
        <v>10</v>
      </c>
      <c r="H17" s="104">
        <f>SUM(H12:H16) *-1</f>
        <v>-7</v>
      </c>
      <c r="I17" s="105">
        <f>SUM(C17:H17)</f>
        <v>123.2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169.6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73</v>
      </c>
      <c r="C21" s="60">
        <v>34.0</v>
      </c>
      <c r="D21" s="60">
        <v>4.0</v>
      </c>
      <c r="E21" s="60">
        <v>8.0</v>
      </c>
      <c r="F21" s="60">
        <v>0.0</v>
      </c>
      <c r="G21" s="60">
        <v>0.0</v>
      </c>
      <c r="H21" s="71">
        <v>2.0</v>
      </c>
      <c r="I21" s="73">
        <f t="shared" ref="I21:I25" si="5">sum(C21+1.2*D21+1.5*E21+2*F21+2*G21)-H21</f>
        <v>48.8</v>
      </c>
    </row>
    <row r="22">
      <c r="A22" s="76" t="s">
        <v>215</v>
      </c>
      <c r="B22" s="36" t="s">
        <v>97</v>
      </c>
      <c r="C22" s="60">
        <v>19.0</v>
      </c>
      <c r="D22" s="60">
        <v>1.0</v>
      </c>
      <c r="E22" s="60">
        <v>5.0</v>
      </c>
      <c r="F22" s="60">
        <v>0.0</v>
      </c>
      <c r="G22" s="60">
        <v>0.0</v>
      </c>
      <c r="H22" s="71">
        <v>4.0</v>
      </c>
      <c r="I22" s="73">
        <f t="shared" si="5"/>
        <v>23.7</v>
      </c>
    </row>
    <row r="23">
      <c r="A23" s="76" t="s">
        <v>216</v>
      </c>
      <c r="B23" s="76" t="s">
        <v>70</v>
      </c>
      <c r="C23" s="60">
        <v>21.0</v>
      </c>
      <c r="D23" s="60">
        <v>17.0</v>
      </c>
      <c r="E23" s="60">
        <v>1.0</v>
      </c>
      <c r="F23" s="60">
        <v>0.0</v>
      </c>
      <c r="G23" s="60">
        <v>1.0</v>
      </c>
      <c r="H23" s="71">
        <v>4.0</v>
      </c>
      <c r="I23" s="73">
        <f t="shared" si="5"/>
        <v>40.9</v>
      </c>
    </row>
    <row r="24">
      <c r="A24" s="76" t="s">
        <v>216</v>
      </c>
      <c r="B24" s="36" t="s">
        <v>89</v>
      </c>
      <c r="C24" s="60">
        <v>23.0</v>
      </c>
      <c r="D24" s="60">
        <v>6.0</v>
      </c>
      <c r="E24" s="60">
        <v>3.0</v>
      </c>
      <c r="F24" s="60">
        <v>0.0</v>
      </c>
      <c r="G24" s="60">
        <v>2.0</v>
      </c>
      <c r="H24" s="71">
        <v>2.0</v>
      </c>
      <c r="I24" s="73">
        <f t="shared" si="5"/>
        <v>36.7</v>
      </c>
    </row>
    <row r="25">
      <c r="A25" s="76" t="s">
        <v>216</v>
      </c>
      <c r="B25" s="76" t="s">
        <v>82</v>
      </c>
      <c r="C25" s="60">
        <v>5.0</v>
      </c>
      <c r="D25" s="60">
        <v>5.0</v>
      </c>
      <c r="E25" s="60">
        <v>1.0</v>
      </c>
      <c r="F25" s="60">
        <v>4.0</v>
      </c>
      <c r="G25" s="60">
        <v>1.0</v>
      </c>
      <c r="H25" s="71">
        <v>3.0</v>
      </c>
      <c r="I25" s="73">
        <f t="shared" si="5"/>
        <v>19.5</v>
      </c>
    </row>
    <row r="26">
      <c r="A26" s="96"/>
      <c r="B26" s="108" t="s">
        <v>217</v>
      </c>
      <c r="C26" s="109">
        <f>SUM(C21:C25)</f>
        <v>102</v>
      </c>
      <c r="D26" s="109">
        <f>SUM(D21:D25)*1.2</f>
        <v>39.6</v>
      </c>
      <c r="E26" s="109">
        <f>SUM(E21:E25)*1.5</f>
        <v>27</v>
      </c>
      <c r="F26" s="109">
        <f t="shared" ref="F26:G26" si="6">SUM(F21:F25)*2</f>
        <v>8</v>
      </c>
      <c r="G26" s="109">
        <f t="shared" si="6"/>
        <v>8</v>
      </c>
      <c r="H26" s="109">
        <f>SUM(H21:H25) *-1</f>
        <v>-15</v>
      </c>
      <c r="I26" s="110">
        <f>SUM(C26:H26)</f>
        <v>169.6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126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84</v>
      </c>
      <c r="C30" s="60">
        <v>17.0</v>
      </c>
      <c r="D30" s="60">
        <v>3.0</v>
      </c>
      <c r="E30" s="60">
        <v>7.0</v>
      </c>
      <c r="F30" s="60">
        <v>0.0</v>
      </c>
      <c r="G30" s="60">
        <v>1.0</v>
      </c>
      <c r="H30" s="71">
        <v>2.0</v>
      </c>
      <c r="I30" s="73">
        <f t="shared" ref="I30:I34" si="7">sum(C30+1.2*D30+1.5*E30+2*F30+2*G30)-H30</f>
        <v>31.1</v>
      </c>
    </row>
    <row r="31">
      <c r="A31" s="76" t="s">
        <v>215</v>
      </c>
      <c r="B31" s="36" t="s">
        <v>100</v>
      </c>
      <c r="C31" s="60">
        <v>14.0</v>
      </c>
      <c r="D31" s="60">
        <v>7.0</v>
      </c>
      <c r="E31" s="60">
        <v>5.0</v>
      </c>
      <c r="F31" s="60">
        <v>3.0</v>
      </c>
      <c r="G31" s="60">
        <v>0.0</v>
      </c>
      <c r="H31" s="71">
        <v>2.0</v>
      </c>
      <c r="I31" s="73">
        <f t="shared" si="7"/>
        <v>33.9</v>
      </c>
    </row>
    <row r="32">
      <c r="A32" s="76" t="s">
        <v>216</v>
      </c>
      <c r="B32" s="36" t="s">
        <v>98</v>
      </c>
      <c r="C32" s="60">
        <v>20.0</v>
      </c>
      <c r="D32" s="60">
        <v>6.0</v>
      </c>
      <c r="E32" s="60">
        <v>1.0</v>
      </c>
      <c r="F32" s="60">
        <v>2.0</v>
      </c>
      <c r="G32" s="60">
        <v>0.0</v>
      </c>
      <c r="H32" s="71">
        <v>6.0</v>
      </c>
      <c r="I32" s="73">
        <f t="shared" si="7"/>
        <v>26.7</v>
      </c>
    </row>
    <row r="33">
      <c r="A33" s="76" t="s">
        <v>216</v>
      </c>
      <c r="B33" s="76" t="s">
        <v>58</v>
      </c>
      <c r="C33" s="60">
        <v>10.0</v>
      </c>
      <c r="D33" s="60">
        <v>5.0</v>
      </c>
      <c r="E33" s="60">
        <v>1.0</v>
      </c>
      <c r="F33" s="60">
        <v>0.0</v>
      </c>
      <c r="G33" s="60">
        <v>1.0</v>
      </c>
      <c r="H33" s="71">
        <v>1.0</v>
      </c>
      <c r="I33" s="73">
        <f t="shared" si="7"/>
        <v>18.5</v>
      </c>
    </row>
    <row r="34">
      <c r="A34" s="76" t="s">
        <v>216</v>
      </c>
      <c r="B34" s="70" t="s">
        <v>134</v>
      </c>
      <c r="C34" s="68">
        <v>4.0</v>
      </c>
      <c r="D34" s="68">
        <v>4.0</v>
      </c>
      <c r="E34" s="68">
        <v>0.0</v>
      </c>
      <c r="F34" s="68">
        <v>3.0</v>
      </c>
      <c r="G34" s="68">
        <v>1.0</v>
      </c>
      <c r="H34" s="79">
        <v>1.0</v>
      </c>
      <c r="I34" s="73">
        <f t="shared" si="7"/>
        <v>15.8</v>
      </c>
    </row>
    <row r="35">
      <c r="A35" s="96"/>
      <c r="B35" s="108" t="s">
        <v>217</v>
      </c>
      <c r="C35" s="109">
        <f>SUM(C30:C34)</f>
        <v>65</v>
      </c>
      <c r="D35" s="109">
        <f>SUM(D30:D34)*1.2</f>
        <v>30</v>
      </c>
      <c r="E35" s="109">
        <f>SUM(E30:E34)*1.5</f>
        <v>21</v>
      </c>
      <c r="F35" s="109">
        <f t="shared" ref="F35:G35" si="8">SUM(F30:F34)*2</f>
        <v>16</v>
      </c>
      <c r="G35" s="109">
        <f t="shared" si="8"/>
        <v>6</v>
      </c>
      <c r="H35" s="109">
        <f>SUM(H30:H34) *-1</f>
        <v>-12</v>
      </c>
      <c r="I35" s="110">
        <f>SUM(C35:H35)</f>
        <v>126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>
        <f>I8</f>
        <v>159.6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78</v>
      </c>
      <c r="C3" s="60">
        <v>23.0</v>
      </c>
      <c r="D3" s="60">
        <v>14.0</v>
      </c>
      <c r="E3" s="60">
        <v>2.0</v>
      </c>
      <c r="F3" s="60">
        <v>3.0</v>
      </c>
      <c r="G3" s="60">
        <v>1.0</v>
      </c>
      <c r="H3" s="71">
        <v>3.0</v>
      </c>
      <c r="I3" s="72">
        <f t="shared" ref="I3:I7" si="1">sum(C3+1.2*D3+1.5*E3+2*F3+2*G3)-H3</f>
        <v>47.8</v>
      </c>
    </row>
    <row r="4">
      <c r="A4" s="76" t="s">
        <v>215</v>
      </c>
      <c r="B4" s="76" t="s">
        <v>117</v>
      </c>
      <c r="C4" s="60">
        <v>2.0</v>
      </c>
      <c r="D4" s="60">
        <v>2.0</v>
      </c>
      <c r="E4" s="60">
        <v>3.0</v>
      </c>
      <c r="F4" s="60">
        <v>0.0</v>
      </c>
      <c r="G4" s="60">
        <v>0.0</v>
      </c>
      <c r="H4" s="71">
        <v>2.0</v>
      </c>
      <c r="I4" s="72">
        <f t="shared" si="1"/>
        <v>6.9</v>
      </c>
    </row>
    <row r="5">
      <c r="A5" s="76" t="s">
        <v>216</v>
      </c>
      <c r="B5" s="70" t="s">
        <v>111</v>
      </c>
      <c r="C5" s="60">
        <v>12.0</v>
      </c>
      <c r="D5" s="60">
        <v>6.0</v>
      </c>
      <c r="E5" s="60">
        <v>4.0</v>
      </c>
      <c r="F5" s="60">
        <v>0.0</v>
      </c>
      <c r="G5" s="60">
        <v>0.0</v>
      </c>
      <c r="H5" s="71">
        <v>2.0</v>
      </c>
      <c r="I5" s="72">
        <f t="shared" si="1"/>
        <v>23.2</v>
      </c>
    </row>
    <row r="6">
      <c r="A6" s="76" t="s">
        <v>216</v>
      </c>
      <c r="B6" s="76" t="s">
        <v>114</v>
      </c>
      <c r="C6" s="60">
        <v>23.0</v>
      </c>
      <c r="D6" s="60">
        <v>8.0</v>
      </c>
      <c r="E6" s="60">
        <v>1.0</v>
      </c>
      <c r="F6" s="60">
        <v>1.0</v>
      </c>
      <c r="G6" s="60">
        <v>5.0</v>
      </c>
      <c r="H6" s="71">
        <v>1.0</v>
      </c>
      <c r="I6" s="72">
        <f t="shared" si="1"/>
        <v>45.1</v>
      </c>
    </row>
    <row r="7">
      <c r="A7" s="76" t="s">
        <v>216</v>
      </c>
      <c r="B7" s="36" t="s">
        <v>102</v>
      </c>
      <c r="C7" s="77">
        <v>23.0</v>
      </c>
      <c r="D7" s="77">
        <v>8.0</v>
      </c>
      <c r="E7" s="77">
        <v>4.0</v>
      </c>
      <c r="F7" s="77">
        <v>0.0</v>
      </c>
      <c r="G7" s="77">
        <v>0.0</v>
      </c>
      <c r="H7" s="78">
        <v>2.0</v>
      </c>
      <c r="I7" s="72">
        <f t="shared" si="1"/>
        <v>36.6</v>
      </c>
    </row>
    <row r="8">
      <c r="A8" s="96"/>
      <c r="B8" s="102" t="s">
        <v>217</v>
      </c>
      <c r="C8" s="103">
        <f>SUM(C3:C7)</f>
        <v>83</v>
      </c>
      <c r="D8" s="103">
        <f>SUM(D3:D7)*1.2</f>
        <v>45.6</v>
      </c>
      <c r="E8" s="103">
        <f>SUM(E3:E7)*1.5</f>
        <v>21</v>
      </c>
      <c r="F8" s="103">
        <f t="shared" ref="F8:G8" si="2">SUM(F3:F7)*2</f>
        <v>8</v>
      </c>
      <c r="G8" s="103">
        <f t="shared" si="2"/>
        <v>12</v>
      </c>
      <c r="H8" s="104">
        <f>SUM(H3:H7) *-1</f>
        <v>-10</v>
      </c>
      <c r="I8" s="105">
        <f>SUM(C8:H8)</f>
        <v>159.6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>
        <f>I17</f>
        <v>219.6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87</v>
      </c>
      <c r="C12" s="60">
        <v>48.0</v>
      </c>
      <c r="D12" s="60">
        <v>5.0</v>
      </c>
      <c r="E12" s="60">
        <v>9.0</v>
      </c>
      <c r="F12" s="60">
        <v>4.0</v>
      </c>
      <c r="G12" s="60">
        <v>1.0</v>
      </c>
      <c r="H12" s="71">
        <v>5.0</v>
      </c>
      <c r="I12" s="73">
        <f t="shared" ref="I12:I16" si="3">sum(C12+1.2*D12+1.5*E12+2*F12+2*G12)-H12</f>
        <v>72.5</v>
      </c>
    </row>
    <row r="13">
      <c r="A13" s="76" t="s">
        <v>215</v>
      </c>
      <c r="B13" s="76" t="s">
        <v>83</v>
      </c>
      <c r="C13" s="60">
        <v>13.0</v>
      </c>
      <c r="D13" s="60">
        <v>7.0</v>
      </c>
      <c r="E13" s="60">
        <v>13.0</v>
      </c>
      <c r="F13" s="60">
        <v>2.0</v>
      </c>
      <c r="G13" s="60">
        <v>0.0</v>
      </c>
      <c r="H13" s="71">
        <v>8.0</v>
      </c>
      <c r="I13" s="73">
        <f t="shared" si="3"/>
        <v>36.9</v>
      </c>
    </row>
    <row r="14">
      <c r="A14" s="76" t="s">
        <v>216</v>
      </c>
      <c r="B14" s="76" t="s">
        <v>105</v>
      </c>
      <c r="C14" s="60">
        <v>22.0</v>
      </c>
      <c r="D14" s="60">
        <v>12.0</v>
      </c>
      <c r="E14" s="60">
        <v>3.0</v>
      </c>
      <c r="F14" s="60">
        <v>0.0</v>
      </c>
      <c r="G14" s="60">
        <v>3.0</v>
      </c>
      <c r="H14" s="71">
        <v>4.0</v>
      </c>
      <c r="I14" s="73">
        <f t="shared" si="3"/>
        <v>42.9</v>
      </c>
    </row>
    <row r="15">
      <c r="A15" s="76" t="s">
        <v>216</v>
      </c>
      <c r="B15" s="76" t="s">
        <v>81</v>
      </c>
      <c r="C15" s="60">
        <v>9.0</v>
      </c>
      <c r="D15" s="60">
        <v>11.0</v>
      </c>
      <c r="E15" s="60">
        <v>0.0</v>
      </c>
      <c r="F15" s="60">
        <v>0.0</v>
      </c>
      <c r="G15" s="60">
        <v>3.0</v>
      </c>
      <c r="H15" s="71">
        <v>1.0</v>
      </c>
      <c r="I15" s="73">
        <f t="shared" si="3"/>
        <v>27.2</v>
      </c>
    </row>
    <row r="16">
      <c r="A16" s="76" t="s">
        <v>216</v>
      </c>
      <c r="B16" s="70" t="s">
        <v>107</v>
      </c>
      <c r="C16" s="77">
        <v>24.0</v>
      </c>
      <c r="D16" s="77">
        <v>8.0</v>
      </c>
      <c r="E16" s="77">
        <v>3.0</v>
      </c>
      <c r="F16" s="77">
        <v>1.0</v>
      </c>
      <c r="G16" s="77">
        <v>0.0</v>
      </c>
      <c r="H16" s="78">
        <v>0.0</v>
      </c>
      <c r="I16" s="73">
        <f t="shared" si="3"/>
        <v>40.1</v>
      </c>
    </row>
    <row r="17">
      <c r="A17" s="96"/>
      <c r="B17" s="102" t="s">
        <v>217</v>
      </c>
      <c r="C17" s="103">
        <f>SUM(C12:C16)</f>
        <v>116</v>
      </c>
      <c r="D17" s="103">
        <f>SUM(D12:D16)*1.2</f>
        <v>51.6</v>
      </c>
      <c r="E17" s="103">
        <f>SUM(E12:E16)*1.5</f>
        <v>42</v>
      </c>
      <c r="F17" s="103">
        <f t="shared" ref="F17:G17" si="4">SUM(F12:F16)*2</f>
        <v>14</v>
      </c>
      <c r="G17" s="103">
        <f t="shared" si="4"/>
        <v>14</v>
      </c>
      <c r="H17" s="104">
        <f>SUM(H12:H16) *-1</f>
        <v>-18</v>
      </c>
      <c r="I17" s="105">
        <f>SUM(C17:H17)</f>
        <v>219.6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>
        <f>I26</f>
        <v>137.4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92</v>
      </c>
      <c r="C21" s="60">
        <v>19.0</v>
      </c>
      <c r="D21" s="60">
        <v>9.0</v>
      </c>
      <c r="E21" s="60">
        <v>4.0</v>
      </c>
      <c r="F21" s="60">
        <v>0.0</v>
      </c>
      <c r="G21" s="60">
        <v>1.0</v>
      </c>
      <c r="H21" s="71">
        <v>0.0</v>
      </c>
      <c r="I21" s="73">
        <f t="shared" ref="I21:I25" si="5">sum(C21+1.2*D21+1.5*E21+2*F21+2*G21)-H21</f>
        <v>37.8</v>
      </c>
    </row>
    <row r="22">
      <c r="A22" s="76" t="s">
        <v>215</v>
      </c>
      <c r="B22" s="36" t="s">
        <v>94</v>
      </c>
      <c r="C22" s="60">
        <v>3.0</v>
      </c>
      <c r="D22" s="60">
        <v>8.0</v>
      </c>
      <c r="E22" s="60">
        <v>3.0</v>
      </c>
      <c r="F22" s="60">
        <v>0.0</v>
      </c>
      <c r="G22" s="60">
        <v>0.0</v>
      </c>
      <c r="H22" s="71">
        <v>2.0</v>
      </c>
      <c r="I22" s="73">
        <f t="shared" si="5"/>
        <v>15.1</v>
      </c>
    </row>
    <row r="23">
      <c r="A23" s="76" t="s">
        <v>216</v>
      </c>
      <c r="B23" s="76" t="s">
        <v>88</v>
      </c>
      <c r="C23" s="60">
        <v>18.0</v>
      </c>
      <c r="D23" s="60">
        <v>3.0</v>
      </c>
      <c r="E23" s="60">
        <v>6.0</v>
      </c>
      <c r="F23" s="60">
        <v>0.0</v>
      </c>
      <c r="G23" s="60">
        <v>0.0</v>
      </c>
      <c r="H23" s="71">
        <v>3.0</v>
      </c>
      <c r="I23" s="73">
        <f t="shared" si="5"/>
        <v>27.6</v>
      </c>
    </row>
    <row r="24">
      <c r="A24" s="76" t="s">
        <v>216</v>
      </c>
      <c r="B24" s="36" t="s">
        <v>110</v>
      </c>
      <c r="C24" s="60">
        <v>12.0</v>
      </c>
      <c r="D24" s="60">
        <v>4.0</v>
      </c>
      <c r="E24" s="60">
        <v>1.0</v>
      </c>
      <c r="F24" s="60">
        <v>0.0</v>
      </c>
      <c r="G24" s="60">
        <v>1.0</v>
      </c>
      <c r="H24" s="71">
        <v>0.0</v>
      </c>
      <c r="I24" s="73">
        <f t="shared" si="5"/>
        <v>20.3</v>
      </c>
    </row>
    <row r="25">
      <c r="A25" s="76" t="s">
        <v>216</v>
      </c>
      <c r="B25" s="76" t="s">
        <v>126</v>
      </c>
      <c r="C25" s="60">
        <v>18.0</v>
      </c>
      <c r="D25" s="60">
        <v>8.0</v>
      </c>
      <c r="E25" s="60">
        <v>6.0</v>
      </c>
      <c r="F25" s="60">
        <v>2.0</v>
      </c>
      <c r="G25" s="60">
        <v>0.0</v>
      </c>
      <c r="H25" s="71">
        <v>4.0</v>
      </c>
      <c r="I25" s="73">
        <f t="shared" si="5"/>
        <v>36.6</v>
      </c>
    </row>
    <row r="26">
      <c r="A26" s="96"/>
      <c r="B26" s="108" t="s">
        <v>217</v>
      </c>
      <c r="C26" s="109">
        <f>SUM(C21:C25)</f>
        <v>70</v>
      </c>
      <c r="D26" s="109">
        <f>SUM(D21:D25)*1.2</f>
        <v>38.4</v>
      </c>
      <c r="E26" s="109">
        <f>SUM(E21:E25)*1.5</f>
        <v>30</v>
      </c>
      <c r="F26" s="109">
        <f t="shared" ref="F26:G26" si="6">SUM(F21:F25)*2</f>
        <v>4</v>
      </c>
      <c r="G26" s="109">
        <f t="shared" si="6"/>
        <v>4</v>
      </c>
      <c r="H26" s="109">
        <f>SUM(H21:H25) *-1</f>
        <v>-9</v>
      </c>
      <c r="I26" s="110">
        <f>SUM(C26:H26)</f>
        <v>137.4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>
        <f>I35</f>
        <v>141.3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74</v>
      </c>
      <c r="C30" s="60">
        <v>13.0</v>
      </c>
      <c r="D30" s="60">
        <v>1.0</v>
      </c>
      <c r="E30" s="60">
        <v>1.0</v>
      </c>
      <c r="F30" s="60">
        <v>0.0</v>
      </c>
      <c r="G30" s="60">
        <v>0.0</v>
      </c>
      <c r="H30" s="71">
        <v>1.0</v>
      </c>
      <c r="I30" s="73">
        <f t="shared" ref="I30:I34" si="7">sum(C30+1.2*D30+1.5*E30+2*F30+2*G30)-H30</f>
        <v>14.7</v>
      </c>
    </row>
    <row r="31">
      <c r="A31" s="76" t="s">
        <v>215</v>
      </c>
      <c r="B31" s="36" t="s">
        <v>127</v>
      </c>
      <c r="C31" s="60">
        <v>7.0</v>
      </c>
      <c r="D31" s="60">
        <v>3.0</v>
      </c>
      <c r="E31" s="60">
        <v>4.0</v>
      </c>
      <c r="F31" s="60">
        <v>1.0</v>
      </c>
      <c r="G31" s="60">
        <v>0.0</v>
      </c>
      <c r="H31" s="71">
        <v>4.0</v>
      </c>
      <c r="I31" s="73">
        <f t="shared" si="7"/>
        <v>14.6</v>
      </c>
    </row>
    <row r="32">
      <c r="A32" s="76" t="s">
        <v>216</v>
      </c>
      <c r="B32" s="36" t="s">
        <v>76</v>
      </c>
      <c r="C32" s="60">
        <v>20.0</v>
      </c>
      <c r="D32" s="60">
        <v>11.0</v>
      </c>
      <c r="E32" s="60">
        <v>8.0</v>
      </c>
      <c r="F32" s="60">
        <v>2.0</v>
      </c>
      <c r="G32" s="60">
        <v>0.0</v>
      </c>
      <c r="H32" s="71">
        <v>1.0</v>
      </c>
      <c r="I32" s="73">
        <f t="shared" si="7"/>
        <v>48.2</v>
      </c>
    </row>
    <row r="33">
      <c r="A33" s="76" t="s">
        <v>216</v>
      </c>
      <c r="B33" s="76" t="s">
        <v>133</v>
      </c>
      <c r="C33" s="60">
        <v>19.0</v>
      </c>
      <c r="D33" s="60">
        <v>5.0</v>
      </c>
      <c r="E33" s="60">
        <v>1.0</v>
      </c>
      <c r="F33" s="60">
        <v>1.0</v>
      </c>
      <c r="G33" s="60">
        <v>1.0</v>
      </c>
      <c r="H33" s="71">
        <v>4.0</v>
      </c>
      <c r="I33" s="73">
        <f t="shared" si="7"/>
        <v>26.5</v>
      </c>
    </row>
    <row r="34">
      <c r="A34" s="76" t="s">
        <v>216</v>
      </c>
      <c r="B34" s="70" t="s">
        <v>120</v>
      </c>
      <c r="C34" s="68">
        <v>23.0</v>
      </c>
      <c r="D34" s="68">
        <v>4.0</v>
      </c>
      <c r="E34" s="68">
        <v>1.0</v>
      </c>
      <c r="F34" s="68">
        <v>1.0</v>
      </c>
      <c r="G34" s="68">
        <v>3.0</v>
      </c>
      <c r="H34" s="79">
        <v>0.0</v>
      </c>
      <c r="I34" s="73">
        <f t="shared" si="7"/>
        <v>37.3</v>
      </c>
    </row>
    <row r="35">
      <c r="A35" s="96"/>
      <c r="B35" s="108" t="s">
        <v>217</v>
      </c>
      <c r="C35" s="109">
        <f>SUM(C30:C34)</f>
        <v>82</v>
      </c>
      <c r="D35" s="109">
        <f>SUM(D30:D34)*1.2</f>
        <v>28.8</v>
      </c>
      <c r="E35" s="109">
        <f>SUM(E30:E34)*1.5</f>
        <v>22.5</v>
      </c>
      <c r="F35" s="109">
        <f t="shared" ref="F35:G35" si="8">SUM(F30:F34)*2</f>
        <v>10</v>
      </c>
      <c r="G35" s="109">
        <f t="shared" si="8"/>
        <v>8</v>
      </c>
      <c r="H35" s="109">
        <f>SUM(H30:H34) *-1</f>
        <v>-10</v>
      </c>
      <c r="I35" s="110">
        <f>SUM(C35:H35)</f>
        <v>141.3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172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72</v>
      </c>
      <c r="C3" s="60">
        <v>21.0</v>
      </c>
      <c r="D3" s="60">
        <v>6.0</v>
      </c>
      <c r="E3" s="60">
        <v>6.0</v>
      </c>
      <c r="F3" s="60">
        <v>1.0</v>
      </c>
      <c r="G3" s="60">
        <v>0.0</v>
      </c>
      <c r="H3" s="71">
        <v>4.0</v>
      </c>
      <c r="I3" s="72">
        <f t="shared" ref="I3:I7" si="1">sum(C3+1.2*D3+1.5*E3+2*F3+2*G3)-H3</f>
        <v>35.2</v>
      </c>
    </row>
    <row r="4">
      <c r="A4" s="76" t="s">
        <v>215</v>
      </c>
      <c r="B4" s="76" t="s">
        <v>97</v>
      </c>
      <c r="C4" s="60">
        <v>18.0</v>
      </c>
      <c r="D4" s="60">
        <v>2.0</v>
      </c>
      <c r="E4" s="60">
        <v>2.0</v>
      </c>
      <c r="F4" s="60">
        <v>0.0</v>
      </c>
      <c r="G4" s="60">
        <v>0.0</v>
      </c>
      <c r="H4" s="71">
        <v>3.0</v>
      </c>
      <c r="I4" s="72">
        <f t="shared" si="1"/>
        <v>20.4</v>
      </c>
    </row>
    <row r="5">
      <c r="A5" s="76" t="s">
        <v>216</v>
      </c>
      <c r="B5" s="70" t="s">
        <v>66</v>
      </c>
      <c r="C5" s="60">
        <v>42.0</v>
      </c>
      <c r="D5" s="60">
        <v>22.0</v>
      </c>
      <c r="E5" s="60">
        <v>6.0</v>
      </c>
      <c r="F5" s="60">
        <v>1.0</v>
      </c>
      <c r="G5" s="60">
        <v>2.0</v>
      </c>
      <c r="H5" s="71">
        <v>7.0</v>
      </c>
      <c r="I5" s="72">
        <f t="shared" si="1"/>
        <v>76.4</v>
      </c>
    </row>
    <row r="6">
      <c r="A6" s="76" t="s">
        <v>216</v>
      </c>
      <c r="B6" s="76" t="s">
        <v>101</v>
      </c>
      <c r="C6" s="60">
        <v>12.0</v>
      </c>
      <c r="D6" s="60">
        <v>6.0</v>
      </c>
      <c r="E6" s="60">
        <v>2.0</v>
      </c>
      <c r="F6" s="60">
        <v>1.0</v>
      </c>
      <c r="G6" s="60">
        <v>4.0</v>
      </c>
      <c r="H6" s="71">
        <v>2.0</v>
      </c>
      <c r="I6" s="72">
        <f t="shared" si="1"/>
        <v>30.2</v>
      </c>
    </row>
    <row r="7">
      <c r="A7" s="76" t="s">
        <v>216</v>
      </c>
      <c r="B7" s="36" t="s">
        <v>85</v>
      </c>
      <c r="C7" s="77">
        <v>2.0</v>
      </c>
      <c r="D7" s="77">
        <v>4.0</v>
      </c>
      <c r="E7" s="77">
        <v>0.0</v>
      </c>
      <c r="F7" s="77">
        <v>1.0</v>
      </c>
      <c r="G7" s="77">
        <v>1.0</v>
      </c>
      <c r="H7" s="78">
        <v>1.0</v>
      </c>
      <c r="I7" s="72">
        <f t="shared" si="1"/>
        <v>9.8</v>
      </c>
    </row>
    <row r="8">
      <c r="A8" s="96"/>
      <c r="B8" s="102" t="s">
        <v>217</v>
      </c>
      <c r="C8" s="103">
        <f>SUM(C3:C7)</f>
        <v>95</v>
      </c>
      <c r="D8" s="103">
        <f>SUM(D3:D7)*1.2</f>
        <v>48</v>
      </c>
      <c r="E8" s="103">
        <f>SUM(E3:E7)*1.5</f>
        <v>24</v>
      </c>
      <c r="F8" s="103">
        <f t="shared" ref="F8:G8" si="2">SUM(F3:F7)*2</f>
        <v>8</v>
      </c>
      <c r="G8" s="103">
        <f t="shared" si="2"/>
        <v>14</v>
      </c>
      <c r="H8" s="104">
        <f>SUM(H3:H7) *-1</f>
        <v>-17</v>
      </c>
      <c r="I8" s="105">
        <f>SUM(C8:H8)</f>
        <v>172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193.1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33.0</v>
      </c>
      <c r="D12" s="60">
        <v>10.0</v>
      </c>
      <c r="E12" s="60">
        <v>8.0</v>
      </c>
      <c r="F12" s="60">
        <v>2.0</v>
      </c>
      <c r="G12" s="60">
        <v>1.0</v>
      </c>
      <c r="H12" s="71">
        <v>1.0</v>
      </c>
      <c r="I12" s="73">
        <f t="shared" ref="I12:I16" si="3">sum(C12+1.2*D12+1.5*E12+2*F12+2*G12)-H12</f>
        <v>62</v>
      </c>
    </row>
    <row r="13">
      <c r="A13" s="76" t="s">
        <v>215</v>
      </c>
      <c r="B13" s="76" t="s">
        <v>100</v>
      </c>
      <c r="C13" s="60">
        <v>8.0</v>
      </c>
      <c r="D13" s="60">
        <v>6.0</v>
      </c>
      <c r="E13" s="60">
        <v>7.0</v>
      </c>
      <c r="F13" s="60">
        <v>3.0</v>
      </c>
      <c r="G13" s="60">
        <v>2.0</v>
      </c>
      <c r="H13" s="71">
        <v>1.0</v>
      </c>
      <c r="I13" s="73">
        <f t="shared" si="3"/>
        <v>34.7</v>
      </c>
    </row>
    <row r="14">
      <c r="A14" s="76" t="s">
        <v>216</v>
      </c>
      <c r="B14" s="76" t="s">
        <v>80</v>
      </c>
      <c r="C14" s="60">
        <v>16.0</v>
      </c>
      <c r="D14" s="60">
        <v>7.0</v>
      </c>
      <c r="E14" s="60">
        <v>4.0</v>
      </c>
      <c r="F14" s="60">
        <v>2.0</v>
      </c>
      <c r="G14" s="60">
        <v>2.0</v>
      </c>
      <c r="H14" s="71">
        <v>1.0</v>
      </c>
      <c r="I14" s="73">
        <f t="shared" si="3"/>
        <v>37.4</v>
      </c>
    </row>
    <row r="15">
      <c r="A15" s="76" t="s">
        <v>216</v>
      </c>
      <c r="B15" s="76" t="s">
        <v>89</v>
      </c>
      <c r="C15" s="60">
        <v>14.0</v>
      </c>
      <c r="D15" s="60">
        <v>11.0</v>
      </c>
      <c r="E15" s="60">
        <v>3.0</v>
      </c>
      <c r="F15" s="60">
        <v>2.0</v>
      </c>
      <c r="G15" s="60">
        <v>0.0</v>
      </c>
      <c r="H15" s="71">
        <v>1.0</v>
      </c>
      <c r="I15" s="73">
        <f t="shared" si="3"/>
        <v>34.7</v>
      </c>
    </row>
    <row r="16">
      <c r="A16" s="76" t="s">
        <v>216</v>
      </c>
      <c r="B16" s="70" t="s">
        <v>121</v>
      </c>
      <c r="C16" s="77">
        <v>12.0</v>
      </c>
      <c r="D16" s="77">
        <v>9.0</v>
      </c>
      <c r="E16" s="77">
        <v>1.0</v>
      </c>
      <c r="F16" s="77">
        <v>0.0</v>
      </c>
      <c r="G16" s="77">
        <v>1.0</v>
      </c>
      <c r="H16" s="78">
        <v>2.0</v>
      </c>
      <c r="I16" s="73">
        <f t="shared" si="3"/>
        <v>24.3</v>
      </c>
    </row>
    <row r="17">
      <c r="A17" s="96"/>
      <c r="B17" s="102" t="s">
        <v>217</v>
      </c>
      <c r="C17" s="103">
        <f>SUM(C12:C16)</f>
        <v>83</v>
      </c>
      <c r="D17" s="103">
        <f>SUM(D12:D16)*1.2</f>
        <v>51.6</v>
      </c>
      <c r="E17" s="103">
        <f>SUM(E12:E16)*1.5</f>
        <v>34.5</v>
      </c>
      <c r="F17" s="103">
        <f t="shared" ref="F17:G17" si="4">SUM(F12:F16)*2</f>
        <v>18</v>
      </c>
      <c r="G17" s="103">
        <f t="shared" si="4"/>
        <v>12</v>
      </c>
      <c r="H17" s="104">
        <f>SUM(H12:H16) *-1</f>
        <v>-6</v>
      </c>
      <c r="I17" s="105">
        <f>SUM(C17:H17)</f>
        <v>193.1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195.7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93</v>
      </c>
      <c r="C21" s="60">
        <v>19.0</v>
      </c>
      <c r="D21" s="60">
        <v>11.0</v>
      </c>
      <c r="E21" s="60">
        <v>2.0</v>
      </c>
      <c r="F21" s="60">
        <v>0.0</v>
      </c>
      <c r="G21" s="60">
        <v>2.0</v>
      </c>
      <c r="H21" s="71">
        <v>2.0</v>
      </c>
      <c r="I21" s="73">
        <f t="shared" ref="I21:I25" si="5">sum(C21+1.2*D21+1.5*E21+2*F21+2*G21)-H21</f>
        <v>37.2</v>
      </c>
    </row>
    <row r="22">
      <c r="A22" s="76" t="s">
        <v>215</v>
      </c>
      <c r="B22" s="36" t="s">
        <v>113</v>
      </c>
      <c r="C22" s="60">
        <v>11.0</v>
      </c>
      <c r="D22" s="60">
        <v>13.0</v>
      </c>
      <c r="E22" s="60">
        <v>3.0</v>
      </c>
      <c r="F22" s="60">
        <v>1.0</v>
      </c>
      <c r="G22" s="60">
        <v>0.0</v>
      </c>
      <c r="H22" s="71">
        <v>1.0</v>
      </c>
      <c r="I22" s="73">
        <f t="shared" si="5"/>
        <v>32.1</v>
      </c>
    </row>
    <row r="23">
      <c r="A23" s="76" t="s">
        <v>216</v>
      </c>
      <c r="B23" s="76" t="s">
        <v>98</v>
      </c>
      <c r="C23" s="60">
        <v>23.0</v>
      </c>
      <c r="D23" s="60">
        <v>7.0</v>
      </c>
      <c r="E23" s="60">
        <v>5.0</v>
      </c>
      <c r="F23" s="60">
        <v>0.0</v>
      </c>
      <c r="G23" s="60">
        <v>0.0</v>
      </c>
      <c r="H23" s="71">
        <v>2.0</v>
      </c>
      <c r="I23" s="73">
        <f t="shared" si="5"/>
        <v>36.9</v>
      </c>
    </row>
    <row r="24">
      <c r="A24" s="76" t="s">
        <v>216</v>
      </c>
      <c r="B24" s="36" t="s">
        <v>69</v>
      </c>
      <c r="C24" s="60">
        <v>23.0</v>
      </c>
      <c r="D24" s="60">
        <v>16.0</v>
      </c>
      <c r="E24" s="60">
        <v>6.0</v>
      </c>
      <c r="F24" s="60">
        <v>2.0</v>
      </c>
      <c r="G24" s="60">
        <v>1.0</v>
      </c>
      <c r="H24" s="71">
        <v>5.0</v>
      </c>
      <c r="I24" s="73">
        <f t="shared" si="5"/>
        <v>52.2</v>
      </c>
    </row>
    <row r="25">
      <c r="A25" s="76" t="s">
        <v>216</v>
      </c>
      <c r="B25" s="76" t="s">
        <v>82</v>
      </c>
      <c r="C25" s="60">
        <v>29.0</v>
      </c>
      <c r="D25" s="60">
        <v>4.0</v>
      </c>
      <c r="E25" s="60">
        <v>3.0</v>
      </c>
      <c r="F25" s="60">
        <v>1.0</v>
      </c>
      <c r="G25" s="60">
        <v>0.0</v>
      </c>
      <c r="H25" s="71">
        <v>3.0</v>
      </c>
      <c r="I25" s="73">
        <f t="shared" si="5"/>
        <v>37.3</v>
      </c>
    </row>
    <row r="26">
      <c r="A26" s="96"/>
      <c r="B26" s="108" t="s">
        <v>217</v>
      </c>
      <c r="C26" s="109">
        <f>SUM(C21:C25)</f>
        <v>105</v>
      </c>
      <c r="D26" s="109">
        <f>SUM(D21:D25)*1.2</f>
        <v>61.2</v>
      </c>
      <c r="E26" s="109">
        <f>SUM(E21:E25)*1.5</f>
        <v>28.5</v>
      </c>
      <c r="F26" s="109">
        <f t="shared" ref="F26:G26" si="6">SUM(F21:F25)*2</f>
        <v>8</v>
      </c>
      <c r="G26" s="109">
        <f t="shared" si="6"/>
        <v>6</v>
      </c>
      <c r="H26" s="109">
        <f>SUM(H21:H25) *-1</f>
        <v>-13</v>
      </c>
      <c r="I26" s="110">
        <f>SUM(C26:H26)</f>
        <v>195.7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144.2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84</v>
      </c>
      <c r="C30" s="60">
        <v>29.0</v>
      </c>
      <c r="D30" s="60">
        <v>4.0</v>
      </c>
      <c r="E30" s="60">
        <v>5.0</v>
      </c>
      <c r="F30" s="60">
        <v>2.0</v>
      </c>
      <c r="G30" s="60">
        <v>0.0</v>
      </c>
      <c r="H30" s="71">
        <v>4.0</v>
      </c>
      <c r="I30" s="73">
        <f t="shared" ref="I30:I34" si="7">sum(C30+1.2*D30+1.5*E30+2*F30+2*G30)-H30</f>
        <v>41.3</v>
      </c>
    </row>
    <row r="31">
      <c r="A31" s="76" t="s">
        <v>215</v>
      </c>
      <c r="B31" s="36" t="s">
        <v>129</v>
      </c>
      <c r="C31" s="60">
        <v>16.0</v>
      </c>
      <c r="D31" s="60">
        <v>6.0</v>
      </c>
      <c r="E31" s="60">
        <v>3.0</v>
      </c>
      <c r="F31" s="60">
        <v>1.0</v>
      </c>
      <c r="G31" s="60">
        <v>0.0</v>
      </c>
      <c r="H31" s="71">
        <v>1.0</v>
      </c>
      <c r="I31" s="73">
        <f t="shared" si="7"/>
        <v>28.7</v>
      </c>
    </row>
    <row r="32">
      <c r="A32" s="76" t="s">
        <v>216</v>
      </c>
      <c r="B32" s="36" t="s">
        <v>70</v>
      </c>
      <c r="C32" s="60">
        <v>14.0</v>
      </c>
      <c r="D32" s="60">
        <v>13.0</v>
      </c>
      <c r="E32" s="60">
        <v>0.0</v>
      </c>
      <c r="F32" s="60">
        <v>1.0</v>
      </c>
      <c r="G32" s="60">
        <v>0.0</v>
      </c>
      <c r="H32" s="71">
        <v>2.0</v>
      </c>
      <c r="I32" s="73">
        <f t="shared" si="7"/>
        <v>29.6</v>
      </c>
    </row>
    <row r="33">
      <c r="A33" s="76" t="s">
        <v>216</v>
      </c>
      <c r="B33" s="76" t="s">
        <v>45</v>
      </c>
      <c r="C33" s="60">
        <v>0.0</v>
      </c>
      <c r="D33" s="60">
        <v>4.0</v>
      </c>
      <c r="E33" s="60">
        <v>1.0</v>
      </c>
      <c r="F33" s="60">
        <v>0.0</v>
      </c>
      <c r="G33" s="60">
        <v>0.0</v>
      </c>
      <c r="H33" s="71">
        <v>1.0</v>
      </c>
      <c r="I33" s="73">
        <f t="shared" si="7"/>
        <v>5.3</v>
      </c>
    </row>
    <row r="34">
      <c r="A34" s="76" t="s">
        <v>216</v>
      </c>
      <c r="B34" s="70" t="s">
        <v>58</v>
      </c>
      <c r="C34" s="68">
        <v>22.0</v>
      </c>
      <c r="D34" s="68">
        <v>14.0</v>
      </c>
      <c r="E34" s="68">
        <v>1.0</v>
      </c>
      <c r="F34" s="68">
        <v>0.0</v>
      </c>
      <c r="G34" s="68">
        <v>0.0</v>
      </c>
      <c r="H34" s="79">
        <v>1.0</v>
      </c>
      <c r="I34" s="73">
        <f t="shared" si="7"/>
        <v>39.3</v>
      </c>
    </row>
    <row r="35">
      <c r="A35" s="96"/>
      <c r="B35" s="108" t="s">
        <v>217</v>
      </c>
      <c r="C35" s="109">
        <f>SUM(C30:C34)</f>
        <v>81</v>
      </c>
      <c r="D35" s="109">
        <f>SUM(D30:D34)*1.2</f>
        <v>49.2</v>
      </c>
      <c r="E35" s="109">
        <f>SUM(E30:E34)*1.5</f>
        <v>15</v>
      </c>
      <c r="F35" s="109">
        <f t="shared" ref="F35:G35" si="8">SUM(F30:F34)*2</f>
        <v>8</v>
      </c>
      <c r="G35" s="109">
        <f t="shared" si="8"/>
        <v>0</v>
      </c>
      <c r="H35" s="109">
        <f>SUM(H30:H34) *-1</f>
        <v>-9</v>
      </c>
      <c r="I35" s="110">
        <f>SUM(C35:H35)</f>
        <v>144.2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158.3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103</v>
      </c>
      <c r="C3" s="60">
        <v>17.0</v>
      </c>
      <c r="D3" s="60">
        <v>7.0</v>
      </c>
      <c r="E3" s="60">
        <v>3.0</v>
      </c>
      <c r="F3" s="60">
        <v>2.0</v>
      </c>
      <c r="G3" s="60">
        <v>0.0</v>
      </c>
      <c r="H3" s="71">
        <v>3.0</v>
      </c>
      <c r="I3" s="72">
        <f t="shared" ref="I3:I7" si="1">sum(C3+1.2*D3+1.5*E3+2*F3+2*G3)-H3</f>
        <v>30.9</v>
      </c>
    </row>
    <row r="4">
      <c r="A4" s="76" t="s">
        <v>215</v>
      </c>
      <c r="B4" s="76" t="s">
        <v>83</v>
      </c>
      <c r="C4" s="60">
        <v>21.0</v>
      </c>
      <c r="D4" s="60">
        <v>0.0</v>
      </c>
      <c r="E4" s="60">
        <v>6.0</v>
      </c>
      <c r="F4" s="60">
        <v>0.0</v>
      </c>
      <c r="G4" s="60">
        <v>0.0</v>
      </c>
      <c r="H4" s="71">
        <v>0.0</v>
      </c>
      <c r="I4" s="72">
        <f t="shared" si="1"/>
        <v>30</v>
      </c>
    </row>
    <row r="5">
      <c r="A5" s="76" t="s">
        <v>216</v>
      </c>
      <c r="B5" s="70" t="s">
        <v>65</v>
      </c>
      <c r="C5" s="60">
        <v>21.0</v>
      </c>
      <c r="D5" s="60">
        <v>14.0</v>
      </c>
      <c r="E5" s="60">
        <v>5.0</v>
      </c>
      <c r="F5" s="60">
        <v>1.0</v>
      </c>
      <c r="G5" s="60">
        <v>1.0</v>
      </c>
      <c r="H5" s="71">
        <v>3.0</v>
      </c>
      <c r="I5" s="72">
        <f t="shared" si="1"/>
        <v>46.3</v>
      </c>
    </row>
    <row r="6">
      <c r="A6" s="76" t="s">
        <v>216</v>
      </c>
      <c r="B6" s="76" t="s">
        <v>114</v>
      </c>
      <c r="C6" s="60">
        <v>11.0</v>
      </c>
      <c r="D6" s="60">
        <v>7.0</v>
      </c>
      <c r="E6" s="60">
        <v>1.0</v>
      </c>
      <c r="F6" s="60">
        <v>3.0</v>
      </c>
      <c r="G6" s="60">
        <v>2.0</v>
      </c>
      <c r="H6" s="71">
        <v>2.0</v>
      </c>
      <c r="I6" s="72">
        <f t="shared" si="1"/>
        <v>28.9</v>
      </c>
    </row>
    <row r="7">
      <c r="A7" s="76" t="s">
        <v>216</v>
      </c>
      <c r="B7" s="36" t="s">
        <v>120</v>
      </c>
      <c r="C7" s="77">
        <v>16.0</v>
      </c>
      <c r="D7" s="77">
        <v>6.0</v>
      </c>
      <c r="E7" s="77">
        <v>0.0</v>
      </c>
      <c r="F7" s="77">
        <v>0.0</v>
      </c>
      <c r="G7" s="77">
        <v>1.0</v>
      </c>
      <c r="H7" s="78">
        <v>3.0</v>
      </c>
      <c r="I7" s="72">
        <f t="shared" si="1"/>
        <v>22.2</v>
      </c>
    </row>
    <row r="8">
      <c r="A8" s="96"/>
      <c r="B8" s="102" t="s">
        <v>217</v>
      </c>
      <c r="C8" s="103">
        <f>SUM(C3:C7)</f>
        <v>86</v>
      </c>
      <c r="D8" s="103">
        <f>SUM(D3:D7)*1.2</f>
        <v>40.8</v>
      </c>
      <c r="E8" s="103">
        <f>SUM(E3:E7)*1.5</f>
        <v>22.5</v>
      </c>
      <c r="F8" s="103">
        <f t="shared" ref="F8:G8" si="2">SUM(F3:F7)*2</f>
        <v>12</v>
      </c>
      <c r="G8" s="103">
        <f t="shared" si="2"/>
        <v>8</v>
      </c>
      <c r="H8" s="104">
        <f>SUM(H3:H7) *-1</f>
        <v>-11</v>
      </c>
      <c r="I8" s="105">
        <f>SUM(C8:H8)</f>
        <v>158.3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153.9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74</v>
      </c>
      <c r="C12" s="60">
        <v>22.0</v>
      </c>
      <c r="D12" s="60">
        <v>10.0</v>
      </c>
      <c r="E12" s="60">
        <v>7.0</v>
      </c>
      <c r="F12" s="60">
        <v>2.0</v>
      </c>
      <c r="G12" s="60">
        <v>2.0</v>
      </c>
      <c r="H12" s="71">
        <v>2.0</v>
      </c>
      <c r="I12" s="73">
        <f t="shared" ref="I12:I16" si="3">sum(C12+1.2*D12+1.5*E12+2*F12+2*G12)-H12</f>
        <v>50.5</v>
      </c>
    </row>
    <row r="13">
      <c r="A13" s="76" t="s">
        <v>215</v>
      </c>
      <c r="B13" s="76" t="s">
        <v>94</v>
      </c>
      <c r="C13" s="60">
        <v>9.0</v>
      </c>
      <c r="D13" s="60">
        <v>3.0</v>
      </c>
      <c r="E13" s="60">
        <v>2.0</v>
      </c>
      <c r="F13" s="60">
        <v>0.0</v>
      </c>
      <c r="G13" s="60">
        <v>1.0</v>
      </c>
      <c r="H13" s="71">
        <v>2.0</v>
      </c>
      <c r="I13" s="73">
        <f t="shared" si="3"/>
        <v>15.6</v>
      </c>
    </row>
    <row r="14">
      <c r="A14" s="76" t="s">
        <v>216</v>
      </c>
      <c r="B14" s="76" t="s">
        <v>111</v>
      </c>
      <c r="C14" s="60">
        <v>15.0</v>
      </c>
      <c r="D14" s="60">
        <v>6.0</v>
      </c>
      <c r="E14" s="60">
        <v>4.0</v>
      </c>
      <c r="F14" s="60">
        <v>1.0</v>
      </c>
      <c r="G14" s="60">
        <v>0.0</v>
      </c>
      <c r="H14" s="71">
        <v>2.0</v>
      </c>
      <c r="I14" s="73">
        <f t="shared" si="3"/>
        <v>28.2</v>
      </c>
    </row>
    <row r="15">
      <c r="A15" s="76" t="s">
        <v>216</v>
      </c>
      <c r="B15" s="76" t="s">
        <v>77</v>
      </c>
      <c r="C15" s="60">
        <v>24.0</v>
      </c>
      <c r="D15" s="60">
        <v>9.0</v>
      </c>
      <c r="E15" s="60">
        <v>3.0</v>
      </c>
      <c r="F15" s="60">
        <v>1.0</v>
      </c>
      <c r="G15" s="60">
        <v>1.0</v>
      </c>
      <c r="H15" s="71">
        <v>0.0</v>
      </c>
      <c r="I15" s="73">
        <f t="shared" si="3"/>
        <v>43.3</v>
      </c>
    </row>
    <row r="16">
      <c r="A16" s="76" t="s">
        <v>216</v>
      </c>
      <c r="B16" s="70" t="s">
        <v>135</v>
      </c>
      <c r="C16" s="77">
        <v>11.0</v>
      </c>
      <c r="D16" s="77">
        <v>4.0</v>
      </c>
      <c r="E16" s="77">
        <v>1.0</v>
      </c>
      <c r="F16" s="77">
        <v>0.0</v>
      </c>
      <c r="G16" s="77">
        <v>0.0</v>
      </c>
      <c r="H16" s="78">
        <v>1.0</v>
      </c>
      <c r="I16" s="73">
        <f t="shared" si="3"/>
        <v>16.3</v>
      </c>
    </row>
    <row r="17">
      <c r="A17" s="96"/>
      <c r="B17" s="102" t="s">
        <v>217</v>
      </c>
      <c r="C17" s="103">
        <f>SUM(C12:C16)</f>
        <v>81</v>
      </c>
      <c r="D17" s="103">
        <f>SUM(D12:D16)*1.2</f>
        <v>38.4</v>
      </c>
      <c r="E17" s="103">
        <f>SUM(E12:E16)*1.5</f>
        <v>25.5</v>
      </c>
      <c r="F17" s="103">
        <f t="shared" ref="F17:G17" si="4">SUM(F12:F16)*2</f>
        <v>8</v>
      </c>
      <c r="G17" s="103">
        <f t="shared" si="4"/>
        <v>8</v>
      </c>
      <c r="H17" s="104">
        <f>SUM(H12:H16) *-1</f>
        <v>-7</v>
      </c>
      <c r="I17" s="105">
        <f>SUM(C17:H17)</f>
        <v>153.9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138.8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87</v>
      </c>
      <c r="C21" s="60">
        <v>33.0</v>
      </c>
      <c r="D21" s="60">
        <v>5.0</v>
      </c>
      <c r="E21" s="60">
        <v>4.0</v>
      </c>
      <c r="F21" s="60">
        <v>1.0</v>
      </c>
      <c r="G21" s="60">
        <v>0.0</v>
      </c>
      <c r="H21" s="71">
        <v>0.0</v>
      </c>
      <c r="I21" s="73">
        <f t="shared" ref="I21:I25" si="5">sum(C21+1.2*D21+1.5*E21+2*F21+2*G21)-H21</f>
        <v>47</v>
      </c>
    </row>
    <row r="22">
      <c r="A22" s="76" t="s">
        <v>215</v>
      </c>
      <c r="B22" s="36" t="s">
        <v>109</v>
      </c>
      <c r="C22" s="60">
        <v>8.0</v>
      </c>
      <c r="D22" s="60">
        <v>4.0</v>
      </c>
      <c r="E22" s="60">
        <v>1.0</v>
      </c>
      <c r="F22" s="60">
        <v>0.0</v>
      </c>
      <c r="G22" s="60">
        <v>1.0</v>
      </c>
      <c r="H22" s="71">
        <v>0.0</v>
      </c>
      <c r="I22" s="73">
        <f t="shared" si="5"/>
        <v>16.3</v>
      </c>
    </row>
    <row r="23">
      <c r="A23" s="76" t="s">
        <v>216</v>
      </c>
      <c r="B23" s="76" t="s">
        <v>91</v>
      </c>
      <c r="C23" s="60">
        <v>20.0</v>
      </c>
      <c r="D23" s="60">
        <v>10.0</v>
      </c>
      <c r="E23" s="60">
        <v>2.0</v>
      </c>
      <c r="F23" s="60">
        <v>2.0</v>
      </c>
      <c r="G23" s="60">
        <v>0.0</v>
      </c>
      <c r="H23" s="71">
        <v>4.0</v>
      </c>
      <c r="I23" s="73">
        <f t="shared" si="5"/>
        <v>35</v>
      </c>
    </row>
    <row r="24">
      <c r="A24" s="76" t="s">
        <v>216</v>
      </c>
      <c r="B24" s="36" t="s">
        <v>105</v>
      </c>
      <c r="C24" s="60">
        <v>12.0</v>
      </c>
      <c r="D24" s="60">
        <v>5.0</v>
      </c>
      <c r="E24" s="60">
        <v>1.0</v>
      </c>
      <c r="F24" s="60">
        <v>2.0</v>
      </c>
      <c r="G24" s="60">
        <v>0.0</v>
      </c>
      <c r="H24" s="71">
        <v>1.0</v>
      </c>
      <c r="I24" s="73">
        <f t="shared" si="5"/>
        <v>22.5</v>
      </c>
    </row>
    <row r="25">
      <c r="A25" s="76" t="s">
        <v>216</v>
      </c>
      <c r="B25" s="76" t="s">
        <v>132</v>
      </c>
      <c r="C25" s="60">
        <v>7.0</v>
      </c>
      <c r="D25" s="60">
        <v>5.0</v>
      </c>
      <c r="E25" s="60">
        <v>2.0</v>
      </c>
      <c r="F25" s="60">
        <v>1.0</v>
      </c>
      <c r="G25" s="60">
        <v>1.0</v>
      </c>
      <c r="H25" s="71">
        <v>2.0</v>
      </c>
      <c r="I25" s="73">
        <f t="shared" si="5"/>
        <v>18</v>
      </c>
    </row>
    <row r="26">
      <c r="A26" s="96"/>
      <c r="B26" s="108" t="s">
        <v>217</v>
      </c>
      <c r="C26" s="109">
        <f>SUM(C21:C25)</f>
        <v>80</v>
      </c>
      <c r="D26" s="109">
        <f>SUM(D21:D25)*1.2</f>
        <v>34.8</v>
      </c>
      <c r="E26" s="109">
        <f>SUM(E21:E25)*1.5</f>
        <v>15</v>
      </c>
      <c r="F26" s="109">
        <f t="shared" ref="F26:G26" si="6">SUM(F21:F25)*2</f>
        <v>12</v>
      </c>
      <c r="G26" s="109">
        <f t="shared" si="6"/>
        <v>4</v>
      </c>
      <c r="H26" s="109">
        <f>SUM(H21:H25) *-1</f>
        <v>-7</v>
      </c>
      <c r="I26" s="110">
        <f>SUM(C26:H26)</f>
        <v>138.8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192.4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92</v>
      </c>
      <c r="C30" s="60">
        <v>22.0</v>
      </c>
      <c r="D30" s="60">
        <v>3.0</v>
      </c>
      <c r="E30" s="60">
        <v>13.0</v>
      </c>
      <c r="F30" s="60">
        <v>1.0</v>
      </c>
      <c r="G30" s="60">
        <v>3.0</v>
      </c>
      <c r="H30" s="71">
        <v>1.0</v>
      </c>
      <c r="I30" s="73">
        <f t="shared" ref="I30:I34" si="7">sum(C30+1.2*D30+1.5*E30+2*F30+2*G30)-H30</f>
        <v>52.1</v>
      </c>
    </row>
    <row r="31">
      <c r="A31" s="76" t="s">
        <v>215</v>
      </c>
      <c r="B31" s="36" t="s">
        <v>117</v>
      </c>
      <c r="C31" s="60">
        <v>21.0</v>
      </c>
      <c r="D31" s="60">
        <v>3.0</v>
      </c>
      <c r="E31" s="60">
        <v>8.0</v>
      </c>
      <c r="F31" s="60">
        <v>1.0</v>
      </c>
      <c r="G31" s="60">
        <v>0.0</v>
      </c>
      <c r="H31" s="71">
        <v>1.0</v>
      </c>
      <c r="I31" s="73">
        <f t="shared" si="7"/>
        <v>37.6</v>
      </c>
    </row>
    <row r="32">
      <c r="A32" s="76" t="s">
        <v>216</v>
      </c>
      <c r="B32" s="36" t="s">
        <v>76</v>
      </c>
      <c r="C32" s="60">
        <v>20.0</v>
      </c>
      <c r="D32" s="60">
        <v>8.0</v>
      </c>
      <c r="E32" s="60">
        <v>7.0</v>
      </c>
      <c r="F32" s="60">
        <v>1.0</v>
      </c>
      <c r="G32" s="60">
        <v>0.0</v>
      </c>
      <c r="H32" s="71">
        <v>1.0</v>
      </c>
      <c r="I32" s="73">
        <f t="shared" si="7"/>
        <v>41.1</v>
      </c>
    </row>
    <row r="33">
      <c r="A33" s="76" t="s">
        <v>216</v>
      </c>
      <c r="B33" s="76" t="s">
        <v>126</v>
      </c>
      <c r="C33" s="60">
        <v>16.0</v>
      </c>
      <c r="D33" s="60">
        <v>6.0</v>
      </c>
      <c r="E33" s="60">
        <v>5.0</v>
      </c>
      <c r="F33" s="60">
        <v>1.0</v>
      </c>
      <c r="G33" s="60">
        <v>2.0</v>
      </c>
      <c r="H33" s="71">
        <v>1.0</v>
      </c>
      <c r="I33" s="73">
        <f t="shared" si="7"/>
        <v>35.7</v>
      </c>
    </row>
    <row r="34">
      <c r="A34" s="76" t="s">
        <v>216</v>
      </c>
      <c r="B34" s="70" t="s">
        <v>102</v>
      </c>
      <c r="C34" s="68">
        <v>7.0</v>
      </c>
      <c r="D34" s="68">
        <v>7.0</v>
      </c>
      <c r="E34" s="68">
        <v>3.0</v>
      </c>
      <c r="F34" s="68">
        <v>2.0</v>
      </c>
      <c r="G34" s="68">
        <v>1.0</v>
      </c>
      <c r="H34" s="79">
        <v>0.0</v>
      </c>
      <c r="I34" s="73">
        <f t="shared" si="7"/>
        <v>25.9</v>
      </c>
    </row>
    <row r="35">
      <c r="A35" s="96"/>
      <c r="B35" s="108" t="s">
        <v>217</v>
      </c>
      <c r="C35" s="109">
        <f>SUM(C30:C34)</f>
        <v>86</v>
      </c>
      <c r="D35" s="109">
        <f>SUM(D30:D34)*1.2</f>
        <v>32.4</v>
      </c>
      <c r="E35" s="109">
        <f>SUM(E30:E34)*1.5</f>
        <v>54</v>
      </c>
      <c r="F35" s="109">
        <f t="shared" ref="F35:G35" si="8">SUM(F30:F34)*2</f>
        <v>12</v>
      </c>
      <c r="G35" s="109">
        <f t="shared" si="8"/>
        <v>12</v>
      </c>
      <c r="H35" s="109">
        <f>SUM(H30:H34) *-1</f>
        <v>-4</v>
      </c>
      <c r="I35" s="110">
        <f>SUM(C35:H35)</f>
        <v>192.4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157.4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94</v>
      </c>
      <c r="C3" s="60">
        <v>10.0</v>
      </c>
      <c r="D3" s="60">
        <v>7.0</v>
      </c>
      <c r="E3" s="60">
        <v>3.0</v>
      </c>
      <c r="F3" s="60">
        <v>1.0</v>
      </c>
      <c r="G3" s="60">
        <v>0.0</v>
      </c>
      <c r="H3" s="71">
        <v>2.0</v>
      </c>
      <c r="I3" s="72">
        <f t="shared" ref="I3:I7" si="1">sum(C3+1.2*D3+1.5*E3+2*F3+2*G3)-H3</f>
        <v>22.9</v>
      </c>
    </row>
    <row r="4">
      <c r="A4" s="76" t="s">
        <v>215</v>
      </c>
      <c r="B4" s="76" t="s">
        <v>113</v>
      </c>
      <c r="C4" s="60">
        <v>21.0</v>
      </c>
      <c r="D4" s="60">
        <v>5.0</v>
      </c>
      <c r="E4" s="60">
        <v>4.0</v>
      </c>
      <c r="F4" s="60">
        <v>1.0</v>
      </c>
      <c r="G4" s="60">
        <v>0.0</v>
      </c>
      <c r="H4" s="71">
        <v>0.0</v>
      </c>
      <c r="I4" s="72">
        <f t="shared" si="1"/>
        <v>35</v>
      </c>
    </row>
    <row r="5">
      <c r="A5" s="76" t="s">
        <v>216</v>
      </c>
      <c r="B5" s="70" t="s">
        <v>66</v>
      </c>
      <c r="C5" s="60">
        <v>16.0</v>
      </c>
      <c r="D5" s="60">
        <v>10.0</v>
      </c>
      <c r="E5" s="60">
        <v>8.0</v>
      </c>
      <c r="F5" s="60">
        <v>3.0</v>
      </c>
      <c r="G5" s="60">
        <v>1.0</v>
      </c>
      <c r="H5" s="71">
        <v>5.0</v>
      </c>
      <c r="I5" s="72">
        <f t="shared" si="1"/>
        <v>43</v>
      </c>
    </row>
    <row r="6">
      <c r="A6" s="76" t="s">
        <v>216</v>
      </c>
      <c r="B6" s="76" t="s">
        <v>99</v>
      </c>
      <c r="C6" s="60">
        <v>10.0</v>
      </c>
      <c r="D6" s="60">
        <v>14.0</v>
      </c>
      <c r="E6" s="60">
        <v>2.0</v>
      </c>
      <c r="F6" s="60">
        <v>1.0</v>
      </c>
      <c r="G6" s="60">
        <v>0.0</v>
      </c>
      <c r="H6" s="71">
        <v>3.0</v>
      </c>
      <c r="I6" s="72">
        <f t="shared" si="1"/>
        <v>28.8</v>
      </c>
    </row>
    <row r="7">
      <c r="A7" s="76" t="s">
        <v>216</v>
      </c>
      <c r="B7" s="36" t="s">
        <v>126</v>
      </c>
      <c r="C7" s="77">
        <v>8.0</v>
      </c>
      <c r="D7" s="77">
        <v>6.0</v>
      </c>
      <c r="E7" s="77">
        <v>7.0</v>
      </c>
      <c r="F7" s="77">
        <v>0.0</v>
      </c>
      <c r="G7" s="77">
        <v>3.0</v>
      </c>
      <c r="H7" s="78">
        <v>4.0</v>
      </c>
      <c r="I7" s="72">
        <f t="shared" si="1"/>
        <v>27.7</v>
      </c>
    </row>
    <row r="8">
      <c r="A8" s="96"/>
      <c r="B8" s="102" t="s">
        <v>217</v>
      </c>
      <c r="C8" s="103">
        <f>SUM(C3:C7)</f>
        <v>65</v>
      </c>
      <c r="D8" s="103">
        <f>SUM(D3:D7)*1.2</f>
        <v>50.4</v>
      </c>
      <c r="E8" s="103">
        <f>SUM(E3:E7)*1.5</f>
        <v>36</v>
      </c>
      <c r="F8" s="103">
        <f t="shared" ref="F8:G8" si="2">SUM(F3:F7)*2</f>
        <v>12</v>
      </c>
      <c r="G8" s="103">
        <f t="shared" si="2"/>
        <v>8</v>
      </c>
      <c r="H8" s="104">
        <f>SUM(H3:H7) *-1</f>
        <v>-14</v>
      </c>
      <c r="I8" s="105">
        <f>SUM(C8:H8)</f>
        <v>157.4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167.3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74</v>
      </c>
      <c r="C12" s="60">
        <v>29.0</v>
      </c>
      <c r="D12" s="60">
        <v>7.0</v>
      </c>
      <c r="E12" s="60">
        <v>2.0</v>
      </c>
      <c r="F12" s="60">
        <v>2.0</v>
      </c>
      <c r="G12" s="60">
        <v>1.0</v>
      </c>
      <c r="H12" s="71">
        <v>5.0</v>
      </c>
      <c r="I12" s="73">
        <f t="shared" ref="I12:I16" si="3">sum(C12+1.2*D12+1.5*E12+2*F12+2*G12)-H12</f>
        <v>41.4</v>
      </c>
    </row>
    <row r="13">
      <c r="A13" s="76" t="s">
        <v>215</v>
      </c>
      <c r="B13" s="76" t="s">
        <v>109</v>
      </c>
      <c r="C13" s="60">
        <v>12.0</v>
      </c>
      <c r="D13" s="60">
        <v>5.0</v>
      </c>
      <c r="E13" s="60">
        <v>3.0</v>
      </c>
      <c r="F13" s="60">
        <v>0.0</v>
      </c>
      <c r="G13" s="60">
        <v>1.0</v>
      </c>
      <c r="H13" s="71">
        <v>1.0</v>
      </c>
      <c r="I13" s="73">
        <f t="shared" si="3"/>
        <v>23.5</v>
      </c>
    </row>
    <row r="14">
      <c r="A14" s="76" t="s">
        <v>216</v>
      </c>
      <c r="B14" s="76" t="s">
        <v>76</v>
      </c>
      <c r="C14" s="60">
        <v>27.0</v>
      </c>
      <c r="D14" s="60">
        <v>9.0</v>
      </c>
      <c r="E14" s="60">
        <v>8.0</v>
      </c>
      <c r="F14" s="60">
        <v>0.0</v>
      </c>
      <c r="G14" s="60">
        <v>1.0</v>
      </c>
      <c r="H14" s="71">
        <v>1.0</v>
      </c>
      <c r="I14" s="73">
        <f t="shared" si="3"/>
        <v>50.8</v>
      </c>
    </row>
    <row r="15">
      <c r="A15" s="76" t="s">
        <v>216</v>
      </c>
      <c r="B15" s="76" t="s">
        <v>77</v>
      </c>
      <c r="C15" s="60">
        <v>14.0</v>
      </c>
      <c r="D15" s="60">
        <v>7.0</v>
      </c>
      <c r="E15" s="60">
        <v>2.0</v>
      </c>
      <c r="F15" s="60">
        <v>3.0</v>
      </c>
      <c r="G15" s="60">
        <v>0.0</v>
      </c>
      <c r="H15" s="71">
        <v>2.0</v>
      </c>
      <c r="I15" s="73">
        <f t="shared" si="3"/>
        <v>29.4</v>
      </c>
    </row>
    <row r="16">
      <c r="A16" s="76" t="s">
        <v>216</v>
      </c>
      <c r="B16" s="70" t="s">
        <v>85</v>
      </c>
      <c r="C16" s="77">
        <v>15.0</v>
      </c>
      <c r="D16" s="77">
        <v>6.0</v>
      </c>
      <c r="E16" s="77">
        <v>0.0</v>
      </c>
      <c r="F16" s="77">
        <v>0.0</v>
      </c>
      <c r="G16" s="77">
        <v>0.0</v>
      </c>
      <c r="H16" s="78">
        <v>0.0</v>
      </c>
      <c r="I16" s="73">
        <f t="shared" si="3"/>
        <v>22.2</v>
      </c>
    </row>
    <row r="17">
      <c r="A17" s="96"/>
      <c r="B17" s="102" t="s">
        <v>217</v>
      </c>
      <c r="C17" s="103">
        <f>SUM(C12:C16)</f>
        <v>97</v>
      </c>
      <c r="D17" s="103">
        <f>SUM(D12:D16)*1.2</f>
        <v>40.8</v>
      </c>
      <c r="E17" s="103">
        <f>SUM(E12:E16)*1.5</f>
        <v>22.5</v>
      </c>
      <c r="F17" s="103">
        <f t="shared" ref="F17:G17" si="4">SUM(F12:F16)*2</f>
        <v>10</v>
      </c>
      <c r="G17" s="103">
        <f t="shared" si="4"/>
        <v>6</v>
      </c>
      <c r="H17" s="104">
        <f>SUM(H12:H16) *-1</f>
        <v>-9</v>
      </c>
      <c r="I17" s="105">
        <f>SUM(C17:H17)</f>
        <v>167.3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164.6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90</v>
      </c>
      <c r="C21" s="60">
        <v>7.0</v>
      </c>
      <c r="D21" s="60">
        <v>5.0</v>
      </c>
      <c r="E21" s="60">
        <v>13.0</v>
      </c>
      <c r="F21" s="60">
        <v>2.0</v>
      </c>
      <c r="G21" s="60">
        <v>1.0</v>
      </c>
      <c r="H21" s="71">
        <v>2.0</v>
      </c>
      <c r="I21" s="73">
        <f t="shared" ref="I21:I25" si="5">sum(C21+1.2*D21+1.5*E21+2*F21+2*G21)-H21</f>
        <v>36.5</v>
      </c>
    </row>
    <row r="22">
      <c r="A22" s="76" t="s">
        <v>215</v>
      </c>
      <c r="B22" s="36" t="s">
        <v>103</v>
      </c>
      <c r="C22" s="60">
        <v>29.0</v>
      </c>
      <c r="D22" s="60">
        <v>8.0</v>
      </c>
      <c r="E22" s="60">
        <v>8.0</v>
      </c>
      <c r="F22" s="60">
        <v>0.0</v>
      </c>
      <c r="G22" s="60">
        <v>0.0</v>
      </c>
      <c r="H22" s="71">
        <v>2.0</v>
      </c>
      <c r="I22" s="73">
        <f t="shared" si="5"/>
        <v>48.6</v>
      </c>
    </row>
    <row r="23">
      <c r="A23" s="76" t="s">
        <v>216</v>
      </c>
      <c r="B23" s="76" t="s">
        <v>50</v>
      </c>
      <c r="C23" s="60">
        <v>22.0</v>
      </c>
      <c r="D23" s="60">
        <v>5.0</v>
      </c>
      <c r="E23" s="60">
        <v>2.0</v>
      </c>
      <c r="F23" s="60">
        <v>0.0</v>
      </c>
      <c r="G23" s="60">
        <v>2.0</v>
      </c>
      <c r="H23" s="71">
        <v>1.0</v>
      </c>
      <c r="I23" s="73">
        <f t="shared" si="5"/>
        <v>34</v>
      </c>
    </row>
    <row r="24">
      <c r="A24" s="76" t="s">
        <v>216</v>
      </c>
      <c r="B24" s="36" t="s">
        <v>58</v>
      </c>
      <c r="C24" s="60">
        <v>22.0</v>
      </c>
      <c r="D24" s="60">
        <v>4.0</v>
      </c>
      <c r="E24" s="60">
        <v>5.0</v>
      </c>
      <c r="F24" s="60">
        <v>1.0</v>
      </c>
      <c r="G24" s="60">
        <v>1.0</v>
      </c>
      <c r="H24" s="71">
        <v>1.0</v>
      </c>
      <c r="I24" s="73">
        <f t="shared" si="5"/>
        <v>37.3</v>
      </c>
    </row>
    <row r="25">
      <c r="A25" s="76" t="s">
        <v>216</v>
      </c>
      <c r="B25" s="76" t="s">
        <v>46</v>
      </c>
      <c r="C25" s="60">
        <v>3.0</v>
      </c>
      <c r="D25" s="60">
        <v>1.0</v>
      </c>
      <c r="E25" s="60">
        <v>2.0</v>
      </c>
      <c r="F25" s="60">
        <v>1.0</v>
      </c>
      <c r="G25" s="60">
        <v>0.0</v>
      </c>
      <c r="H25" s="71">
        <v>1.0</v>
      </c>
      <c r="I25" s="73">
        <f t="shared" si="5"/>
        <v>8.2</v>
      </c>
    </row>
    <row r="26">
      <c r="A26" s="96"/>
      <c r="B26" s="108" t="s">
        <v>217</v>
      </c>
      <c r="C26" s="109">
        <f>SUM(C21:C25)</f>
        <v>83</v>
      </c>
      <c r="D26" s="109">
        <f>SUM(D21:D25)*1.2</f>
        <v>27.6</v>
      </c>
      <c r="E26" s="109">
        <f>SUM(E21:E25)*1.5</f>
        <v>45</v>
      </c>
      <c r="F26" s="109">
        <f t="shared" ref="F26:G26" si="6">SUM(F21:F25)*2</f>
        <v>8</v>
      </c>
      <c r="G26" s="109">
        <f t="shared" si="6"/>
        <v>8</v>
      </c>
      <c r="H26" s="109">
        <f>SUM(H21:H25) *-1</f>
        <v>-7</v>
      </c>
      <c r="I26" s="110">
        <f>SUM(C26:H26)</f>
        <v>164.6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>
        <f>I35</f>
        <v>127.3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16.0</v>
      </c>
      <c r="D30" s="60">
        <v>5.0</v>
      </c>
      <c r="E30" s="60">
        <v>2.0</v>
      </c>
      <c r="F30" s="60">
        <v>0.0</v>
      </c>
      <c r="G30" s="60">
        <v>1.0</v>
      </c>
      <c r="H30" s="71">
        <v>4.0</v>
      </c>
      <c r="I30" s="73">
        <f t="shared" ref="I30:I34" si="7">sum(C30+1.2*D30+1.5*E30+2*F30+2*G30)-H30</f>
        <v>23</v>
      </c>
    </row>
    <row r="31">
      <c r="A31" s="76" t="s">
        <v>215</v>
      </c>
      <c r="B31" s="36" t="s">
        <v>97</v>
      </c>
      <c r="C31" s="60">
        <v>16.0</v>
      </c>
      <c r="D31" s="60">
        <v>5.0</v>
      </c>
      <c r="E31" s="60">
        <v>5.0</v>
      </c>
      <c r="F31" s="60">
        <v>5.0</v>
      </c>
      <c r="G31" s="60">
        <v>0.0</v>
      </c>
      <c r="H31" s="71">
        <v>2.0</v>
      </c>
      <c r="I31" s="73">
        <f t="shared" si="7"/>
        <v>37.5</v>
      </c>
    </row>
    <row r="32">
      <c r="A32" s="76" t="s">
        <v>216</v>
      </c>
      <c r="B32" s="36" t="s">
        <v>65</v>
      </c>
      <c r="C32" s="60">
        <v>21.0</v>
      </c>
      <c r="D32" s="60">
        <v>14.0</v>
      </c>
      <c r="E32" s="60">
        <v>6.0</v>
      </c>
      <c r="F32" s="60">
        <v>3.0</v>
      </c>
      <c r="G32" s="60">
        <v>0.0</v>
      </c>
      <c r="H32" s="71">
        <v>2.0</v>
      </c>
      <c r="I32" s="73">
        <f t="shared" si="7"/>
        <v>50.8</v>
      </c>
    </row>
    <row r="33">
      <c r="A33" s="76" t="s">
        <v>216</v>
      </c>
      <c r="B33" s="76" t="s">
        <v>122</v>
      </c>
      <c r="C33" s="60">
        <v>9.0</v>
      </c>
      <c r="D33" s="60">
        <v>2.0</v>
      </c>
      <c r="E33" s="60">
        <v>2.0</v>
      </c>
      <c r="F33" s="60">
        <v>0.0</v>
      </c>
      <c r="G33" s="60">
        <v>1.0</v>
      </c>
      <c r="H33" s="71">
        <v>3.0</v>
      </c>
      <c r="I33" s="73">
        <f t="shared" si="7"/>
        <v>13.4</v>
      </c>
    </row>
    <row r="34">
      <c r="A34" s="76" t="s">
        <v>216</v>
      </c>
      <c r="B34" s="70" t="s">
        <v>107</v>
      </c>
      <c r="C34" s="68">
        <v>0.0</v>
      </c>
      <c r="D34" s="68">
        <v>3.0</v>
      </c>
      <c r="E34" s="68">
        <v>0.0</v>
      </c>
      <c r="F34" s="68">
        <v>0.0</v>
      </c>
      <c r="G34" s="68">
        <v>0.0</v>
      </c>
      <c r="H34" s="79">
        <v>1.0</v>
      </c>
      <c r="I34" s="73">
        <f t="shared" si="7"/>
        <v>2.6</v>
      </c>
    </row>
    <row r="35">
      <c r="A35" s="96"/>
      <c r="B35" s="108" t="s">
        <v>217</v>
      </c>
      <c r="C35" s="109">
        <f>SUM(C30:C34)</f>
        <v>62</v>
      </c>
      <c r="D35" s="109">
        <f>SUM(D30:D34)*1.2</f>
        <v>34.8</v>
      </c>
      <c r="E35" s="109">
        <f>SUM(E30:E34)*1.5</f>
        <v>22.5</v>
      </c>
      <c r="F35" s="109">
        <f t="shared" ref="F35:G35" si="8">SUM(F30:F34)*2</f>
        <v>16</v>
      </c>
      <c r="G35" s="109">
        <f t="shared" si="8"/>
        <v>4</v>
      </c>
      <c r="H35" s="109">
        <f>SUM(H30:H34) *-1</f>
        <v>-12</v>
      </c>
      <c r="I35" s="110">
        <f>SUM(C35:H35)</f>
        <v>127.3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155.9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100</v>
      </c>
      <c r="C3" s="60">
        <v>25.0</v>
      </c>
      <c r="D3" s="60">
        <v>4.0</v>
      </c>
      <c r="E3" s="60">
        <v>3.0</v>
      </c>
      <c r="F3" s="60">
        <v>0.0</v>
      </c>
      <c r="G3" s="60">
        <v>1.0</v>
      </c>
      <c r="H3" s="71">
        <v>4.0</v>
      </c>
      <c r="I3" s="72">
        <f t="shared" ref="I3:I7" si="1">sum(C3+1.2*D3+1.5*E3+2*F3+2*G3)-H3</f>
        <v>32.3</v>
      </c>
    </row>
    <row r="4">
      <c r="A4" s="76" t="s">
        <v>215</v>
      </c>
      <c r="B4" s="76" t="s">
        <v>139</v>
      </c>
      <c r="C4" s="60">
        <v>7.0</v>
      </c>
      <c r="D4" s="60">
        <v>5.0</v>
      </c>
      <c r="E4" s="60">
        <v>1.0</v>
      </c>
      <c r="F4" s="60">
        <v>1.0</v>
      </c>
      <c r="G4" s="60">
        <v>0.0</v>
      </c>
      <c r="H4" s="71">
        <v>4.0</v>
      </c>
      <c r="I4" s="72">
        <f t="shared" si="1"/>
        <v>12.5</v>
      </c>
    </row>
    <row r="5">
      <c r="A5" s="76" t="s">
        <v>216</v>
      </c>
      <c r="B5" s="70" t="s">
        <v>66</v>
      </c>
      <c r="C5" s="60">
        <v>25.0</v>
      </c>
      <c r="D5" s="60">
        <v>7.0</v>
      </c>
      <c r="E5" s="60">
        <v>8.0</v>
      </c>
      <c r="F5" s="60">
        <v>3.0</v>
      </c>
      <c r="G5" s="60">
        <v>1.0</v>
      </c>
      <c r="H5" s="71">
        <v>4.0</v>
      </c>
      <c r="I5" s="72">
        <f t="shared" si="1"/>
        <v>49.4</v>
      </c>
    </row>
    <row r="6">
      <c r="A6" s="76" t="s">
        <v>216</v>
      </c>
      <c r="B6" s="76" t="s">
        <v>99</v>
      </c>
      <c r="C6" s="60">
        <v>10.0</v>
      </c>
      <c r="D6" s="60">
        <v>6.0</v>
      </c>
      <c r="E6" s="60">
        <v>0.0</v>
      </c>
      <c r="F6" s="60">
        <v>1.0</v>
      </c>
      <c r="G6" s="60">
        <v>3.0</v>
      </c>
      <c r="H6" s="71">
        <v>1.0</v>
      </c>
      <c r="I6" s="72">
        <f t="shared" si="1"/>
        <v>24.2</v>
      </c>
    </row>
    <row r="7">
      <c r="A7" s="76" t="s">
        <v>216</v>
      </c>
      <c r="B7" s="36" t="s">
        <v>82</v>
      </c>
      <c r="C7" s="77">
        <v>22.0</v>
      </c>
      <c r="D7" s="77">
        <v>5.0</v>
      </c>
      <c r="E7" s="77">
        <v>1.0</v>
      </c>
      <c r="F7" s="77">
        <v>3.0</v>
      </c>
      <c r="G7" s="77">
        <v>2.0</v>
      </c>
      <c r="H7" s="78">
        <v>2.0</v>
      </c>
      <c r="I7" s="72">
        <f t="shared" si="1"/>
        <v>37.5</v>
      </c>
    </row>
    <row r="8">
      <c r="A8" s="96"/>
      <c r="B8" s="102" t="s">
        <v>217</v>
      </c>
      <c r="C8" s="103">
        <f>SUM(C3:C7)</f>
        <v>89</v>
      </c>
      <c r="D8" s="103">
        <f>SUM(D3:D7)*1.2</f>
        <v>32.4</v>
      </c>
      <c r="E8" s="103">
        <f>SUM(E3:E7)*1.5</f>
        <v>19.5</v>
      </c>
      <c r="F8" s="103">
        <f t="shared" ref="F8:G8" si="2">SUM(F3:F7)*2</f>
        <v>16</v>
      </c>
      <c r="G8" s="103">
        <f t="shared" si="2"/>
        <v>14</v>
      </c>
      <c r="H8" s="104">
        <f>SUM(H3:H7) *-1</f>
        <v>-15</v>
      </c>
      <c r="I8" s="105">
        <f>SUM(C8:H8)</f>
        <v>155.9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164.4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75</v>
      </c>
      <c r="C12" s="60">
        <v>23.0</v>
      </c>
      <c r="D12" s="60">
        <v>7.0</v>
      </c>
      <c r="E12" s="60">
        <v>8.0</v>
      </c>
      <c r="F12" s="60">
        <v>3.0</v>
      </c>
      <c r="G12" s="60">
        <v>1.0</v>
      </c>
      <c r="H12" s="71">
        <v>3.0</v>
      </c>
      <c r="I12" s="73">
        <f t="shared" ref="I12:I16" si="3">sum(C12+1.2*D12+1.5*E12+2*F12+2*G12)-H12</f>
        <v>48.4</v>
      </c>
    </row>
    <row r="13">
      <c r="A13" s="76" t="s">
        <v>215</v>
      </c>
      <c r="B13" s="76" t="s">
        <v>97</v>
      </c>
      <c r="C13" s="60">
        <v>14.0</v>
      </c>
      <c r="D13" s="60">
        <v>10.0</v>
      </c>
      <c r="E13" s="60">
        <v>6.0</v>
      </c>
      <c r="F13" s="60">
        <v>0.0</v>
      </c>
      <c r="G13" s="60">
        <v>0.0</v>
      </c>
      <c r="H13" s="71">
        <v>2.0</v>
      </c>
      <c r="I13" s="73">
        <f t="shared" si="3"/>
        <v>33</v>
      </c>
    </row>
    <row r="14">
      <c r="A14" s="76" t="s">
        <v>216</v>
      </c>
      <c r="B14" s="76" t="s">
        <v>70</v>
      </c>
      <c r="C14" s="60">
        <v>10.0</v>
      </c>
      <c r="D14" s="60">
        <v>15.0</v>
      </c>
      <c r="E14" s="60">
        <v>2.0</v>
      </c>
      <c r="F14" s="60">
        <v>2.0</v>
      </c>
      <c r="G14" s="60">
        <v>0.0</v>
      </c>
      <c r="H14" s="71">
        <v>3.0</v>
      </c>
      <c r="I14" s="73">
        <f t="shared" si="3"/>
        <v>32</v>
      </c>
    </row>
    <row r="15">
      <c r="A15" s="76" t="s">
        <v>216</v>
      </c>
      <c r="B15" s="76" t="s">
        <v>89</v>
      </c>
      <c r="C15" s="60">
        <v>13.0</v>
      </c>
      <c r="D15" s="60">
        <v>10.0</v>
      </c>
      <c r="E15" s="60">
        <v>4.0</v>
      </c>
      <c r="F15" s="60">
        <v>0.0</v>
      </c>
      <c r="G15" s="60">
        <v>1.0</v>
      </c>
      <c r="H15" s="71">
        <v>3.0</v>
      </c>
      <c r="I15" s="73">
        <f t="shared" si="3"/>
        <v>30</v>
      </c>
    </row>
    <row r="16">
      <c r="A16" s="76" t="s">
        <v>216</v>
      </c>
      <c r="B16" s="70" t="s">
        <v>128</v>
      </c>
      <c r="C16" s="77">
        <v>14.0</v>
      </c>
      <c r="D16" s="77">
        <v>5.0</v>
      </c>
      <c r="E16" s="77">
        <v>0.0</v>
      </c>
      <c r="F16" s="77">
        <v>1.0</v>
      </c>
      <c r="G16" s="77">
        <v>0.0</v>
      </c>
      <c r="H16" s="78">
        <v>1.0</v>
      </c>
      <c r="I16" s="73">
        <f t="shared" si="3"/>
        <v>21</v>
      </c>
    </row>
    <row r="17">
      <c r="A17" s="96"/>
      <c r="B17" s="102" t="s">
        <v>217</v>
      </c>
      <c r="C17" s="103">
        <f>SUM(C12:C16)</f>
        <v>74</v>
      </c>
      <c r="D17" s="103">
        <f>SUM(D12:D16)*1.2</f>
        <v>56.4</v>
      </c>
      <c r="E17" s="103">
        <f>SUM(E12:E16)*1.5</f>
        <v>30</v>
      </c>
      <c r="F17" s="103">
        <f t="shared" ref="F17:G17" si="4">SUM(F12:F16)*2</f>
        <v>12</v>
      </c>
      <c r="G17" s="103">
        <f t="shared" si="4"/>
        <v>4</v>
      </c>
      <c r="H17" s="104">
        <f>SUM(H12:H16) *-1</f>
        <v>-12</v>
      </c>
      <c r="I17" s="105">
        <f>SUM(C17:H17)</f>
        <v>164.4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176.3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84</v>
      </c>
      <c r="C21" s="60">
        <v>40.0</v>
      </c>
      <c r="D21" s="60">
        <v>4.0</v>
      </c>
      <c r="E21" s="60">
        <v>7.0</v>
      </c>
      <c r="F21" s="60">
        <v>0.0</v>
      </c>
      <c r="G21" s="60">
        <v>0.0</v>
      </c>
      <c r="H21" s="71">
        <v>2.0</v>
      </c>
      <c r="I21" s="73">
        <f t="shared" ref="I21:I25" si="5">sum(C21+1.2*D21+1.5*E21+2*F21+2*G21)-H21</f>
        <v>53.3</v>
      </c>
    </row>
    <row r="22">
      <c r="A22" s="76" t="s">
        <v>215</v>
      </c>
      <c r="B22" s="36" t="s">
        <v>90</v>
      </c>
      <c r="C22" s="60">
        <v>28.0</v>
      </c>
      <c r="D22" s="60">
        <v>6.0</v>
      </c>
      <c r="E22" s="60">
        <v>8.0</v>
      </c>
      <c r="F22" s="60">
        <v>2.0</v>
      </c>
      <c r="G22" s="60">
        <v>1.0</v>
      </c>
      <c r="H22" s="71">
        <v>4.0</v>
      </c>
      <c r="I22" s="73">
        <f t="shared" si="5"/>
        <v>49.2</v>
      </c>
    </row>
    <row r="23">
      <c r="A23" s="76" t="s">
        <v>216</v>
      </c>
      <c r="B23" s="76" t="s">
        <v>108</v>
      </c>
      <c r="C23" s="60">
        <v>21.0</v>
      </c>
      <c r="D23" s="60">
        <v>6.0</v>
      </c>
      <c r="E23" s="60">
        <v>3.0</v>
      </c>
      <c r="F23" s="60">
        <v>0.0</v>
      </c>
      <c r="G23" s="60">
        <v>0.0</v>
      </c>
      <c r="H23" s="71">
        <v>2.0</v>
      </c>
      <c r="I23" s="73">
        <f t="shared" si="5"/>
        <v>30.7</v>
      </c>
    </row>
    <row r="24">
      <c r="A24" s="76" t="s">
        <v>216</v>
      </c>
      <c r="B24" s="36" t="s">
        <v>58</v>
      </c>
      <c r="C24" s="60">
        <v>19.0</v>
      </c>
      <c r="D24" s="60">
        <v>5.0</v>
      </c>
      <c r="E24" s="60">
        <v>1.0</v>
      </c>
      <c r="F24" s="60">
        <v>1.0</v>
      </c>
      <c r="G24" s="60">
        <v>1.0</v>
      </c>
      <c r="H24" s="71">
        <v>2.0</v>
      </c>
      <c r="I24" s="73">
        <f t="shared" si="5"/>
        <v>28.5</v>
      </c>
    </row>
    <row r="25">
      <c r="A25" s="76" t="s">
        <v>216</v>
      </c>
      <c r="B25" s="76" t="s">
        <v>85</v>
      </c>
      <c r="C25" s="60">
        <v>5.0</v>
      </c>
      <c r="D25" s="60">
        <v>3.0</v>
      </c>
      <c r="E25" s="60">
        <v>0.0</v>
      </c>
      <c r="F25" s="60">
        <v>2.0</v>
      </c>
      <c r="G25" s="60">
        <v>1.0</v>
      </c>
      <c r="H25" s="71">
        <v>0.0</v>
      </c>
      <c r="I25" s="73">
        <f t="shared" si="5"/>
        <v>14.6</v>
      </c>
    </row>
    <row r="26">
      <c r="A26" s="96"/>
      <c r="B26" s="108" t="s">
        <v>217</v>
      </c>
      <c r="C26" s="109">
        <f>SUM(C21:C25)</f>
        <v>113</v>
      </c>
      <c r="D26" s="109">
        <f>SUM(D21:D25)*1.2</f>
        <v>28.8</v>
      </c>
      <c r="E26" s="109">
        <f>SUM(E21:E25)*1.5</f>
        <v>28.5</v>
      </c>
      <c r="F26" s="109">
        <f t="shared" ref="F26:G26" si="6">SUM(F21:F25)*2</f>
        <v>10</v>
      </c>
      <c r="G26" s="109">
        <f t="shared" si="6"/>
        <v>6</v>
      </c>
      <c r="H26" s="109">
        <f>SUM(H21:H25) *-1</f>
        <v>-10</v>
      </c>
      <c r="I26" s="110">
        <f>SUM(C26:H26)</f>
        <v>176.3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>
        <f>I35</f>
        <v>178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21.0</v>
      </c>
      <c r="D30" s="60">
        <v>8.0</v>
      </c>
      <c r="E30" s="60">
        <v>8.0</v>
      </c>
      <c r="F30" s="60">
        <v>0.0</v>
      </c>
      <c r="G30" s="60">
        <v>3.0</v>
      </c>
      <c r="H30" s="71">
        <v>3.0</v>
      </c>
      <c r="I30" s="73">
        <f t="shared" ref="I30:I34" si="7">sum(C30+1.2*D30+1.5*E30+2*F30+2*G30)-H30</f>
        <v>45.6</v>
      </c>
    </row>
    <row r="31">
      <c r="A31" s="76" t="s">
        <v>215</v>
      </c>
      <c r="B31" s="36" t="s">
        <v>113</v>
      </c>
      <c r="C31" s="60">
        <v>14.0</v>
      </c>
      <c r="D31" s="60">
        <v>3.0</v>
      </c>
      <c r="E31" s="60">
        <v>1.0</v>
      </c>
      <c r="F31" s="60">
        <v>0.0</v>
      </c>
      <c r="G31" s="60">
        <v>0.0</v>
      </c>
      <c r="H31" s="71">
        <v>0.0</v>
      </c>
      <c r="I31" s="73">
        <f t="shared" si="7"/>
        <v>19.1</v>
      </c>
    </row>
    <row r="32">
      <c r="A32" s="76" t="s">
        <v>216</v>
      </c>
      <c r="B32" s="36" t="s">
        <v>50</v>
      </c>
      <c r="C32" s="60">
        <v>27.0</v>
      </c>
      <c r="D32" s="60">
        <v>10.0</v>
      </c>
      <c r="E32" s="60">
        <v>5.0</v>
      </c>
      <c r="F32" s="60">
        <v>0.0</v>
      </c>
      <c r="G32" s="60">
        <v>0.0</v>
      </c>
      <c r="H32" s="71">
        <v>1.0</v>
      </c>
      <c r="I32" s="73">
        <f t="shared" si="7"/>
        <v>45.5</v>
      </c>
    </row>
    <row r="33">
      <c r="A33" s="76" t="s">
        <v>216</v>
      </c>
      <c r="B33" s="76" t="s">
        <v>122</v>
      </c>
      <c r="C33" s="60">
        <v>24.0</v>
      </c>
      <c r="D33" s="60">
        <v>3.0</v>
      </c>
      <c r="E33" s="60">
        <v>1.0</v>
      </c>
      <c r="F33" s="60">
        <v>2.0</v>
      </c>
      <c r="G33" s="60">
        <v>0.0</v>
      </c>
      <c r="H33" s="71">
        <v>1.0</v>
      </c>
      <c r="I33" s="73">
        <f t="shared" si="7"/>
        <v>32.1</v>
      </c>
    </row>
    <row r="34">
      <c r="A34" s="76" t="s">
        <v>216</v>
      </c>
      <c r="B34" s="70" t="s">
        <v>95</v>
      </c>
      <c r="C34" s="68">
        <v>17.0</v>
      </c>
      <c r="D34" s="68">
        <v>6.0</v>
      </c>
      <c r="E34" s="68">
        <v>1.0</v>
      </c>
      <c r="F34" s="68">
        <v>3.0</v>
      </c>
      <c r="G34" s="68">
        <v>2.0</v>
      </c>
      <c r="H34" s="79">
        <v>0.0</v>
      </c>
      <c r="I34" s="73">
        <f t="shared" si="7"/>
        <v>35.7</v>
      </c>
    </row>
    <row r="35">
      <c r="A35" s="96"/>
      <c r="B35" s="108" t="s">
        <v>217</v>
      </c>
      <c r="C35" s="109">
        <f>SUM(C30:C34)</f>
        <v>103</v>
      </c>
      <c r="D35" s="109">
        <f>SUM(D30:D34)*1.2</f>
        <v>36</v>
      </c>
      <c r="E35" s="109">
        <f>SUM(E30:E34)*1.5</f>
        <v>24</v>
      </c>
      <c r="F35" s="109">
        <f t="shared" ref="F35:G35" si="8">SUM(F30:F34)*2</f>
        <v>10</v>
      </c>
      <c r="G35" s="109">
        <f t="shared" si="8"/>
        <v>10</v>
      </c>
      <c r="H35" s="109">
        <f>SUM(H30:H34) *-1</f>
        <v>-5</v>
      </c>
      <c r="I35" s="110">
        <f>SUM(C35:H35)</f>
        <v>178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164.3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28.0</v>
      </c>
      <c r="D3" s="60">
        <v>7.0</v>
      </c>
      <c r="E3" s="60">
        <v>9.0</v>
      </c>
      <c r="F3" s="60">
        <v>1.0</v>
      </c>
      <c r="G3" s="60">
        <v>0.0</v>
      </c>
      <c r="H3" s="71">
        <v>2.0</v>
      </c>
      <c r="I3" s="72">
        <f t="shared" ref="I3:I7" si="1">sum(C3+1.2*D3+1.5*E3+2*F3+2*G3)-H3</f>
        <v>49.9</v>
      </c>
    </row>
    <row r="4">
      <c r="A4" s="76" t="s">
        <v>215</v>
      </c>
      <c r="B4" s="76" t="s">
        <v>127</v>
      </c>
      <c r="C4" s="60">
        <v>9.0</v>
      </c>
      <c r="D4" s="60">
        <v>4.0</v>
      </c>
      <c r="E4" s="60">
        <v>5.0</v>
      </c>
      <c r="F4" s="60">
        <v>2.0</v>
      </c>
      <c r="G4" s="60">
        <v>0.0</v>
      </c>
      <c r="H4" s="71">
        <v>3.0</v>
      </c>
      <c r="I4" s="72">
        <f t="shared" si="1"/>
        <v>22.3</v>
      </c>
    </row>
    <row r="5">
      <c r="A5" s="76" t="s">
        <v>216</v>
      </c>
      <c r="B5" s="70" t="s">
        <v>77</v>
      </c>
      <c r="C5" s="60">
        <v>25.0</v>
      </c>
      <c r="D5" s="60">
        <v>6.0</v>
      </c>
      <c r="E5" s="60">
        <v>3.0</v>
      </c>
      <c r="F5" s="60">
        <v>5.0</v>
      </c>
      <c r="G5" s="60">
        <v>3.0</v>
      </c>
      <c r="H5" s="71">
        <v>3.0</v>
      </c>
      <c r="I5" s="72">
        <f t="shared" si="1"/>
        <v>49.7</v>
      </c>
    </row>
    <row r="6">
      <c r="A6" s="76" t="s">
        <v>216</v>
      </c>
      <c r="B6" s="76" t="s">
        <v>110</v>
      </c>
      <c r="C6" s="60">
        <v>8.0</v>
      </c>
      <c r="D6" s="60">
        <v>3.0</v>
      </c>
      <c r="E6" s="60">
        <v>0.0</v>
      </c>
      <c r="F6" s="60">
        <v>1.0</v>
      </c>
      <c r="G6" s="60">
        <v>0.0</v>
      </c>
      <c r="H6" s="71">
        <v>0.0</v>
      </c>
      <c r="I6" s="72">
        <f t="shared" si="1"/>
        <v>13.6</v>
      </c>
    </row>
    <row r="7">
      <c r="A7" s="76" t="s">
        <v>216</v>
      </c>
      <c r="B7" s="36" t="s">
        <v>116</v>
      </c>
      <c r="C7" s="77">
        <v>23.0</v>
      </c>
      <c r="D7" s="77">
        <v>4.0</v>
      </c>
      <c r="E7" s="77">
        <v>0.0</v>
      </c>
      <c r="F7" s="77">
        <v>0.0</v>
      </c>
      <c r="G7" s="77">
        <v>1.0</v>
      </c>
      <c r="H7" s="78">
        <v>1.0</v>
      </c>
      <c r="I7" s="72">
        <f t="shared" si="1"/>
        <v>28.8</v>
      </c>
    </row>
    <row r="8">
      <c r="A8" s="96"/>
      <c r="B8" s="102" t="s">
        <v>217</v>
      </c>
      <c r="C8" s="103">
        <f>SUM(C3:C7)</f>
        <v>93</v>
      </c>
      <c r="D8" s="103">
        <f>SUM(D3:D7)*1.2</f>
        <v>28.8</v>
      </c>
      <c r="E8" s="103">
        <f>SUM(E3:E7)*1.5</f>
        <v>25.5</v>
      </c>
      <c r="F8" s="103">
        <f t="shared" ref="F8:G8" si="2">SUM(F3:F7)*2</f>
        <v>18</v>
      </c>
      <c r="G8" s="103">
        <f t="shared" si="2"/>
        <v>8</v>
      </c>
      <c r="H8" s="104">
        <f>SUM(H3:H7) *-1</f>
        <v>-9</v>
      </c>
      <c r="I8" s="105">
        <f>SUM(C8:H8)</f>
        <v>164.3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134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96</v>
      </c>
      <c r="C12" s="60">
        <v>12.0</v>
      </c>
      <c r="D12" s="60">
        <v>5.0</v>
      </c>
      <c r="E12" s="60">
        <v>2.0</v>
      </c>
      <c r="F12" s="60">
        <v>0.0</v>
      </c>
      <c r="G12" s="60">
        <v>0.0</v>
      </c>
      <c r="H12" s="71">
        <v>6.0</v>
      </c>
      <c r="I12" s="73">
        <f t="shared" ref="I12:I16" si="3">sum(C12+1.2*D12+1.5*E12+2*F12+2*G12)-H12</f>
        <v>15</v>
      </c>
    </row>
    <row r="13">
      <c r="A13" s="76" t="s">
        <v>215</v>
      </c>
      <c r="B13" s="76" t="s">
        <v>103</v>
      </c>
      <c r="C13" s="60">
        <v>26.0</v>
      </c>
      <c r="D13" s="60">
        <v>1.0</v>
      </c>
      <c r="E13" s="60">
        <v>2.0</v>
      </c>
      <c r="F13" s="60">
        <v>0.0</v>
      </c>
      <c r="G13" s="60">
        <v>1.0</v>
      </c>
      <c r="H13" s="71">
        <v>1.0</v>
      </c>
      <c r="I13" s="73">
        <f t="shared" si="3"/>
        <v>31.2</v>
      </c>
    </row>
    <row r="14">
      <c r="A14" s="76" t="s">
        <v>216</v>
      </c>
      <c r="B14" s="76" t="s">
        <v>71</v>
      </c>
      <c r="C14" s="60">
        <v>22.0</v>
      </c>
      <c r="D14" s="60">
        <v>7.0</v>
      </c>
      <c r="E14" s="60">
        <v>6.0</v>
      </c>
      <c r="F14" s="60">
        <v>2.0</v>
      </c>
      <c r="G14" s="60">
        <v>0.0</v>
      </c>
      <c r="H14" s="71">
        <v>3.0</v>
      </c>
      <c r="I14" s="73">
        <f t="shared" si="3"/>
        <v>40.4</v>
      </c>
    </row>
    <row r="15">
      <c r="A15" s="76" t="s">
        <v>216</v>
      </c>
      <c r="B15" s="76" t="s">
        <v>88</v>
      </c>
      <c r="C15" s="60">
        <v>23.0</v>
      </c>
      <c r="D15" s="60">
        <v>5.0</v>
      </c>
      <c r="E15" s="60">
        <v>4.0</v>
      </c>
      <c r="F15" s="60">
        <v>1.0</v>
      </c>
      <c r="G15" s="60">
        <v>0.0</v>
      </c>
      <c r="H15" s="71">
        <v>3.0</v>
      </c>
      <c r="I15" s="73">
        <f t="shared" si="3"/>
        <v>34</v>
      </c>
    </row>
    <row r="16">
      <c r="A16" s="76" t="s">
        <v>216</v>
      </c>
      <c r="B16" s="70" t="s">
        <v>133</v>
      </c>
      <c r="C16" s="77">
        <v>3.0</v>
      </c>
      <c r="D16" s="77">
        <v>2.0</v>
      </c>
      <c r="E16" s="77">
        <v>2.0</v>
      </c>
      <c r="F16" s="77">
        <v>0.0</v>
      </c>
      <c r="G16" s="77">
        <v>3.0</v>
      </c>
      <c r="H16" s="78">
        <v>1.0</v>
      </c>
      <c r="I16" s="73">
        <f t="shared" si="3"/>
        <v>13.4</v>
      </c>
    </row>
    <row r="17">
      <c r="A17" s="96"/>
      <c r="B17" s="102" t="s">
        <v>217</v>
      </c>
      <c r="C17" s="103">
        <f>SUM(C12:C16)</f>
        <v>86</v>
      </c>
      <c r="D17" s="103">
        <f>SUM(D12:D16)*1.2</f>
        <v>24</v>
      </c>
      <c r="E17" s="103">
        <f>SUM(E12:E16)*1.5</f>
        <v>24</v>
      </c>
      <c r="F17" s="103">
        <f t="shared" ref="F17:G17" si="4">SUM(F12:F16)*2</f>
        <v>6</v>
      </c>
      <c r="G17" s="103">
        <f t="shared" si="4"/>
        <v>8</v>
      </c>
      <c r="H17" s="104">
        <f>SUM(H12:H16) *-1</f>
        <v>-14</v>
      </c>
      <c r="I17" s="105">
        <f>SUM(C17:H17)</f>
        <v>134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177.8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78</v>
      </c>
      <c r="C21" s="60">
        <v>15.0</v>
      </c>
      <c r="D21" s="60">
        <v>11.0</v>
      </c>
      <c r="E21" s="60">
        <v>8.0</v>
      </c>
      <c r="F21" s="60">
        <v>3.0</v>
      </c>
      <c r="G21" s="60">
        <v>0.0</v>
      </c>
      <c r="H21" s="71">
        <v>0.0</v>
      </c>
      <c r="I21" s="73">
        <f t="shared" ref="I21:I25" si="5">sum(C21+1.2*D21+1.5*E21+2*F21+2*G21)-H21</f>
        <v>46.2</v>
      </c>
    </row>
    <row r="22">
      <c r="A22" s="76" t="s">
        <v>215</v>
      </c>
      <c r="B22" s="36" t="s">
        <v>109</v>
      </c>
      <c r="C22" s="60">
        <v>11.0</v>
      </c>
      <c r="D22" s="60">
        <v>8.0</v>
      </c>
      <c r="E22" s="60">
        <v>2.0</v>
      </c>
      <c r="F22" s="60">
        <v>0.0</v>
      </c>
      <c r="G22" s="60">
        <v>0.0</v>
      </c>
      <c r="H22" s="71">
        <v>0.0</v>
      </c>
      <c r="I22" s="73">
        <f t="shared" si="5"/>
        <v>23.6</v>
      </c>
    </row>
    <row r="23">
      <c r="A23" s="76" t="s">
        <v>216</v>
      </c>
      <c r="B23" s="76" t="s">
        <v>76</v>
      </c>
      <c r="C23" s="60">
        <v>8.0</v>
      </c>
      <c r="D23" s="60">
        <v>5.0</v>
      </c>
      <c r="E23" s="60">
        <v>2.0</v>
      </c>
      <c r="F23" s="60">
        <v>2.0</v>
      </c>
      <c r="G23" s="60">
        <v>0.0</v>
      </c>
      <c r="H23" s="71">
        <v>0.0</v>
      </c>
      <c r="I23" s="73">
        <f t="shared" si="5"/>
        <v>21</v>
      </c>
    </row>
    <row r="24">
      <c r="A24" s="76" t="s">
        <v>216</v>
      </c>
      <c r="B24" s="36" t="s">
        <v>46</v>
      </c>
      <c r="C24" s="60">
        <v>24.0</v>
      </c>
      <c r="D24" s="60">
        <v>1.0</v>
      </c>
      <c r="E24" s="60">
        <v>2.0</v>
      </c>
      <c r="F24" s="60">
        <v>0.0</v>
      </c>
      <c r="G24" s="60">
        <v>0.0</v>
      </c>
      <c r="H24" s="71">
        <v>1.0</v>
      </c>
      <c r="I24" s="73">
        <f t="shared" si="5"/>
        <v>27.2</v>
      </c>
    </row>
    <row r="25">
      <c r="A25" s="76" t="s">
        <v>216</v>
      </c>
      <c r="B25" s="76" t="s">
        <v>81</v>
      </c>
      <c r="C25" s="60">
        <v>27.0</v>
      </c>
      <c r="D25" s="60">
        <v>24.0</v>
      </c>
      <c r="E25" s="60">
        <v>0.0</v>
      </c>
      <c r="F25" s="60">
        <v>0.0</v>
      </c>
      <c r="G25" s="60">
        <v>2.0</v>
      </c>
      <c r="H25" s="71">
        <v>0.0</v>
      </c>
      <c r="I25" s="73">
        <f t="shared" si="5"/>
        <v>59.8</v>
      </c>
    </row>
    <row r="26">
      <c r="A26" s="96"/>
      <c r="B26" s="108" t="s">
        <v>217</v>
      </c>
      <c r="C26" s="109">
        <f>SUM(C21:C25)</f>
        <v>85</v>
      </c>
      <c r="D26" s="109">
        <f>SUM(D21:D25)*1.2</f>
        <v>58.8</v>
      </c>
      <c r="E26" s="109">
        <f>SUM(E21:E25)*1.5</f>
        <v>21</v>
      </c>
      <c r="F26" s="109">
        <f t="shared" ref="F26:G26" si="6">SUM(F21:F25)*2</f>
        <v>10</v>
      </c>
      <c r="G26" s="109">
        <f t="shared" si="6"/>
        <v>4</v>
      </c>
      <c r="H26" s="109">
        <f>SUM(H21:H25) *-1</f>
        <v>-1</v>
      </c>
      <c r="I26" s="110">
        <f>SUM(C26:H26)</f>
        <v>177.8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>
        <f>I35</f>
        <v>108.4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74</v>
      </c>
      <c r="C30" s="60">
        <v>13.0</v>
      </c>
      <c r="D30" s="60">
        <v>3.0</v>
      </c>
      <c r="E30" s="60">
        <v>7.0</v>
      </c>
      <c r="F30" s="60">
        <v>0.0</v>
      </c>
      <c r="G30" s="60">
        <v>0.0</v>
      </c>
      <c r="H30" s="71">
        <v>3.0</v>
      </c>
      <c r="I30" s="73">
        <f t="shared" ref="I30:I34" si="7">sum(C30+1.2*D30+1.5*E30+2*F30+2*G30)-H30</f>
        <v>24.1</v>
      </c>
    </row>
    <row r="31">
      <c r="A31" s="76" t="s">
        <v>215</v>
      </c>
      <c r="B31" s="36" t="s">
        <v>118</v>
      </c>
      <c r="C31" s="60">
        <v>8.0</v>
      </c>
      <c r="D31" s="60">
        <v>2.0</v>
      </c>
      <c r="E31" s="60">
        <v>4.0</v>
      </c>
      <c r="F31" s="60">
        <v>0.0</v>
      </c>
      <c r="G31" s="60">
        <v>0.0</v>
      </c>
      <c r="H31" s="71">
        <v>2.0</v>
      </c>
      <c r="I31" s="73">
        <f t="shared" si="7"/>
        <v>14.4</v>
      </c>
    </row>
    <row r="32">
      <c r="A32" s="76" t="s">
        <v>216</v>
      </c>
      <c r="B32" s="36" t="s">
        <v>65</v>
      </c>
      <c r="C32" s="60">
        <v>15.0</v>
      </c>
      <c r="D32" s="60">
        <v>9.0</v>
      </c>
      <c r="E32" s="60">
        <v>9.0</v>
      </c>
      <c r="F32" s="60">
        <v>2.0</v>
      </c>
      <c r="G32" s="60">
        <v>2.0</v>
      </c>
      <c r="H32" s="71">
        <v>1.0</v>
      </c>
      <c r="I32" s="73">
        <f t="shared" si="7"/>
        <v>46.3</v>
      </c>
    </row>
    <row r="33">
      <c r="A33" s="76" t="s">
        <v>216</v>
      </c>
      <c r="B33" s="76" t="s">
        <v>126</v>
      </c>
      <c r="C33" s="60">
        <v>7.0</v>
      </c>
      <c r="D33" s="60">
        <v>1.0</v>
      </c>
      <c r="E33" s="60">
        <v>1.0</v>
      </c>
      <c r="F33" s="60">
        <v>2.0</v>
      </c>
      <c r="G33" s="60">
        <v>0.0</v>
      </c>
      <c r="H33" s="71">
        <v>2.0</v>
      </c>
      <c r="I33" s="73">
        <f t="shared" si="7"/>
        <v>11.7</v>
      </c>
    </row>
    <row r="34">
      <c r="A34" s="76" t="s">
        <v>216</v>
      </c>
      <c r="B34" s="70" t="s">
        <v>107</v>
      </c>
      <c r="C34" s="68">
        <v>4.0</v>
      </c>
      <c r="D34" s="68">
        <v>2.0</v>
      </c>
      <c r="E34" s="68">
        <v>1.0</v>
      </c>
      <c r="F34" s="68">
        <v>1.0</v>
      </c>
      <c r="G34" s="68">
        <v>1.0</v>
      </c>
      <c r="H34" s="79">
        <v>0.0</v>
      </c>
      <c r="I34" s="73">
        <f t="shared" si="7"/>
        <v>11.9</v>
      </c>
    </row>
    <row r="35">
      <c r="A35" s="96"/>
      <c r="B35" s="108" t="s">
        <v>217</v>
      </c>
      <c r="C35" s="109">
        <f>SUM(C30:C34)</f>
        <v>47</v>
      </c>
      <c r="D35" s="109">
        <f>SUM(D30:D34)*1.2</f>
        <v>20.4</v>
      </c>
      <c r="E35" s="109">
        <f>SUM(E30:E34)*1.5</f>
        <v>33</v>
      </c>
      <c r="F35" s="109">
        <f t="shared" ref="F35:G35" si="8">SUM(F30:F34)*2</f>
        <v>10</v>
      </c>
      <c r="G35" s="109">
        <f t="shared" si="8"/>
        <v>6</v>
      </c>
      <c r="H35" s="109">
        <f>SUM(H30:H34) *-1</f>
        <v>-8</v>
      </c>
      <c r="I35" s="110">
        <f>SUM(C35:H35)</f>
        <v>108.4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>
        <f>I8</f>
        <v>206.5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90</v>
      </c>
      <c r="C3" s="60">
        <v>11.0</v>
      </c>
      <c r="D3" s="60">
        <v>8.0</v>
      </c>
      <c r="E3" s="60">
        <v>5.0</v>
      </c>
      <c r="F3" s="60">
        <v>2.0</v>
      </c>
      <c r="G3" s="60">
        <v>0.0</v>
      </c>
      <c r="H3" s="71">
        <v>4.0</v>
      </c>
      <c r="I3" s="72">
        <f t="shared" ref="I3:I7" si="1">sum(C3+1.2*D3+1.5*E3+2*F3+2*G3)-H3</f>
        <v>28.1</v>
      </c>
    </row>
    <row r="4">
      <c r="A4" s="76" t="s">
        <v>215</v>
      </c>
      <c r="B4" s="76" t="s">
        <v>92</v>
      </c>
      <c r="C4" s="60">
        <v>26.0</v>
      </c>
      <c r="D4" s="60">
        <v>5.0</v>
      </c>
      <c r="E4" s="60">
        <v>9.0</v>
      </c>
      <c r="F4" s="60">
        <v>3.0</v>
      </c>
      <c r="G4" s="60">
        <v>3.0</v>
      </c>
      <c r="H4" s="71">
        <v>1.0</v>
      </c>
      <c r="I4" s="72">
        <f t="shared" si="1"/>
        <v>56.5</v>
      </c>
    </row>
    <row r="5">
      <c r="A5" s="76" t="s">
        <v>216</v>
      </c>
      <c r="B5" s="70" t="s">
        <v>66</v>
      </c>
      <c r="C5" s="60">
        <v>13.0</v>
      </c>
      <c r="D5" s="60">
        <v>10.0</v>
      </c>
      <c r="E5" s="60">
        <v>12.0</v>
      </c>
      <c r="F5" s="60">
        <v>1.0</v>
      </c>
      <c r="G5" s="60">
        <v>2.0</v>
      </c>
      <c r="H5" s="71">
        <v>2.0</v>
      </c>
      <c r="I5" s="72">
        <f t="shared" si="1"/>
        <v>47</v>
      </c>
    </row>
    <row r="6">
      <c r="A6" s="76" t="s">
        <v>216</v>
      </c>
      <c r="B6" s="76" t="s">
        <v>99</v>
      </c>
      <c r="C6" s="60">
        <v>27.0</v>
      </c>
      <c r="D6" s="60">
        <v>5.0</v>
      </c>
      <c r="E6" s="60">
        <v>1.0</v>
      </c>
      <c r="F6" s="60">
        <v>0.0</v>
      </c>
      <c r="G6" s="60">
        <v>2.0</v>
      </c>
      <c r="H6" s="71">
        <v>1.0</v>
      </c>
      <c r="I6" s="72">
        <f t="shared" si="1"/>
        <v>37.5</v>
      </c>
    </row>
    <row r="7">
      <c r="A7" s="76" t="s">
        <v>216</v>
      </c>
      <c r="B7" s="36" t="s">
        <v>89</v>
      </c>
      <c r="C7" s="77">
        <v>15.0</v>
      </c>
      <c r="D7" s="77">
        <v>7.0</v>
      </c>
      <c r="E7" s="77">
        <v>6.0</v>
      </c>
      <c r="F7" s="77">
        <v>2.0</v>
      </c>
      <c r="G7" s="77">
        <v>2.0</v>
      </c>
      <c r="H7" s="78">
        <v>3.0</v>
      </c>
      <c r="I7" s="72">
        <f t="shared" si="1"/>
        <v>37.4</v>
      </c>
    </row>
    <row r="8">
      <c r="A8" s="96"/>
      <c r="B8" s="102" t="s">
        <v>217</v>
      </c>
      <c r="C8" s="103">
        <f>SUM(C3:C7)</f>
        <v>92</v>
      </c>
      <c r="D8" s="103">
        <f>SUM(D3:D7)*1.2</f>
        <v>42</v>
      </c>
      <c r="E8" s="103">
        <f>SUM(E3:E7)*1.5</f>
        <v>49.5</v>
      </c>
      <c r="F8" s="103">
        <f t="shared" ref="F8:G8" si="2">SUM(F3:F7)*2</f>
        <v>16</v>
      </c>
      <c r="G8" s="103">
        <f t="shared" si="2"/>
        <v>18</v>
      </c>
      <c r="H8" s="104">
        <f>SUM(H3:H7) *-1</f>
        <v>-11</v>
      </c>
      <c r="I8" s="105">
        <f>SUM(C8:H8)</f>
        <v>206.5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>
        <f>I17</f>
        <v>173.1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75</v>
      </c>
      <c r="C12" s="60">
        <v>24.0</v>
      </c>
      <c r="D12" s="60">
        <v>8.0</v>
      </c>
      <c r="E12" s="60">
        <v>8.0</v>
      </c>
      <c r="F12" s="60">
        <v>2.0</v>
      </c>
      <c r="G12" s="60">
        <v>1.0</v>
      </c>
      <c r="H12" s="71">
        <v>5.0</v>
      </c>
      <c r="I12" s="73">
        <f t="shared" ref="I12:I16" si="3">sum(C12+1.2*D12+1.5*E12+2*F12+2*G12)-H12</f>
        <v>46.6</v>
      </c>
    </row>
    <row r="13">
      <c r="A13" s="76" t="s">
        <v>215</v>
      </c>
      <c r="B13" s="76" t="s">
        <v>100</v>
      </c>
      <c r="C13" s="60">
        <v>17.0</v>
      </c>
      <c r="D13" s="60">
        <v>6.0</v>
      </c>
      <c r="E13" s="60">
        <v>2.0</v>
      </c>
      <c r="F13" s="60">
        <v>0.0</v>
      </c>
      <c r="G13" s="60">
        <v>1.0</v>
      </c>
      <c r="H13" s="71">
        <v>2.0</v>
      </c>
      <c r="I13" s="73">
        <f t="shared" si="3"/>
        <v>27.2</v>
      </c>
    </row>
    <row r="14">
      <c r="A14" s="76" t="s">
        <v>216</v>
      </c>
      <c r="B14" s="76" t="s">
        <v>98</v>
      </c>
      <c r="C14" s="60">
        <v>23.0</v>
      </c>
      <c r="D14" s="60">
        <v>6.0</v>
      </c>
      <c r="E14" s="60">
        <v>3.0</v>
      </c>
      <c r="F14" s="60">
        <v>0.0</v>
      </c>
      <c r="G14" s="60">
        <v>0.0</v>
      </c>
      <c r="H14" s="71">
        <v>2.0</v>
      </c>
      <c r="I14" s="73">
        <f t="shared" si="3"/>
        <v>32.7</v>
      </c>
    </row>
    <row r="15">
      <c r="A15" s="76" t="s">
        <v>216</v>
      </c>
      <c r="B15" s="76" t="s">
        <v>50</v>
      </c>
      <c r="C15" s="60">
        <v>20.0</v>
      </c>
      <c r="D15" s="60">
        <v>9.0</v>
      </c>
      <c r="E15" s="60">
        <v>11.0</v>
      </c>
      <c r="F15" s="60">
        <v>1.0</v>
      </c>
      <c r="G15" s="60">
        <v>2.0</v>
      </c>
      <c r="H15" s="71">
        <v>1.0</v>
      </c>
      <c r="I15" s="73">
        <f t="shared" si="3"/>
        <v>52.3</v>
      </c>
    </row>
    <row r="16">
      <c r="A16" s="76" t="s">
        <v>216</v>
      </c>
      <c r="B16" s="70" t="s">
        <v>111</v>
      </c>
      <c r="C16" s="77">
        <v>10.0</v>
      </c>
      <c r="D16" s="77">
        <v>4.0</v>
      </c>
      <c r="E16" s="77">
        <v>1.0</v>
      </c>
      <c r="F16" s="77">
        <v>0.0</v>
      </c>
      <c r="G16" s="77">
        <v>0.0</v>
      </c>
      <c r="H16" s="78">
        <v>2.0</v>
      </c>
      <c r="I16" s="73">
        <f t="shared" si="3"/>
        <v>14.3</v>
      </c>
    </row>
    <row r="17">
      <c r="A17" s="96"/>
      <c r="B17" s="102" t="s">
        <v>217</v>
      </c>
      <c r="C17" s="103">
        <f>SUM(C12:C16)</f>
        <v>94</v>
      </c>
      <c r="D17" s="103">
        <f>SUM(D12:D16)*1.2</f>
        <v>39.6</v>
      </c>
      <c r="E17" s="103">
        <f>SUM(E12:E16)*1.5</f>
        <v>37.5</v>
      </c>
      <c r="F17" s="103">
        <f t="shared" ref="F17:G17" si="4">SUM(F12:F16)*2</f>
        <v>6</v>
      </c>
      <c r="G17" s="103">
        <f t="shared" si="4"/>
        <v>8</v>
      </c>
      <c r="H17" s="104">
        <f>SUM(H12:H16) *-1</f>
        <v>-12</v>
      </c>
      <c r="I17" s="105">
        <f>SUM(C17:H17)</f>
        <v>173.1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208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84</v>
      </c>
      <c r="C21" s="60">
        <v>16.0</v>
      </c>
      <c r="D21" s="60">
        <v>3.0</v>
      </c>
      <c r="E21" s="60">
        <v>7.0</v>
      </c>
      <c r="F21" s="60">
        <v>0.0</v>
      </c>
      <c r="G21" s="60">
        <v>0.0</v>
      </c>
      <c r="H21" s="71">
        <v>4.0</v>
      </c>
      <c r="I21" s="73">
        <f t="shared" ref="I21:I25" si="5">sum(C21+1.2*D21+1.5*E21+2*F21+2*G21)-H21</f>
        <v>26.1</v>
      </c>
    </row>
    <row r="22">
      <c r="A22" s="76" t="s">
        <v>215</v>
      </c>
      <c r="B22" s="36" t="s">
        <v>113</v>
      </c>
      <c r="C22" s="60">
        <v>11.0</v>
      </c>
      <c r="D22" s="60">
        <v>12.0</v>
      </c>
      <c r="E22" s="60">
        <v>3.0</v>
      </c>
      <c r="F22" s="60">
        <v>2.0</v>
      </c>
      <c r="G22" s="60">
        <v>0.0</v>
      </c>
      <c r="H22" s="71">
        <v>0.0</v>
      </c>
      <c r="I22" s="73">
        <f t="shared" si="5"/>
        <v>33.9</v>
      </c>
    </row>
    <row r="23">
      <c r="A23" s="76" t="s">
        <v>216</v>
      </c>
      <c r="B23" s="76" t="s">
        <v>248</v>
      </c>
      <c r="C23" s="60">
        <v>30.0</v>
      </c>
      <c r="D23" s="60">
        <v>20.0</v>
      </c>
      <c r="E23" s="60">
        <v>13.0</v>
      </c>
      <c r="F23" s="60">
        <v>2.0</v>
      </c>
      <c r="G23" s="60">
        <v>2.0</v>
      </c>
      <c r="H23" s="71">
        <v>7.0</v>
      </c>
      <c r="I23" s="73">
        <f t="shared" si="5"/>
        <v>74.5</v>
      </c>
    </row>
    <row r="24">
      <c r="A24" s="76" t="s">
        <v>216</v>
      </c>
      <c r="B24" s="36" t="s">
        <v>70</v>
      </c>
      <c r="C24" s="60">
        <v>17.0</v>
      </c>
      <c r="D24" s="60">
        <v>11.0</v>
      </c>
      <c r="E24" s="60">
        <v>1.0</v>
      </c>
      <c r="F24" s="60">
        <v>0.0</v>
      </c>
      <c r="G24" s="60">
        <v>2.0</v>
      </c>
      <c r="H24" s="71">
        <v>0.0</v>
      </c>
      <c r="I24" s="73">
        <f t="shared" si="5"/>
        <v>35.7</v>
      </c>
    </row>
    <row r="25">
      <c r="A25" s="76" t="s">
        <v>216</v>
      </c>
      <c r="B25" s="76" t="s">
        <v>54</v>
      </c>
      <c r="C25" s="60">
        <v>25.0</v>
      </c>
      <c r="D25" s="60">
        <v>4.0</v>
      </c>
      <c r="E25" s="60">
        <v>4.0</v>
      </c>
      <c r="F25" s="60">
        <v>1.0</v>
      </c>
      <c r="G25" s="60">
        <v>0.0</v>
      </c>
      <c r="H25" s="71">
        <v>0.0</v>
      </c>
      <c r="I25" s="73">
        <f t="shared" si="5"/>
        <v>37.8</v>
      </c>
    </row>
    <row r="26">
      <c r="A26" s="96"/>
      <c r="B26" s="108" t="s">
        <v>217</v>
      </c>
      <c r="C26" s="109">
        <f>SUM(C21:C25)</f>
        <v>99</v>
      </c>
      <c r="D26" s="109">
        <f>SUM(D21:D25)*1.2</f>
        <v>60</v>
      </c>
      <c r="E26" s="109">
        <f>SUM(E21:E25)*1.5</f>
        <v>42</v>
      </c>
      <c r="F26" s="109">
        <f t="shared" ref="F26:G26" si="6">SUM(F21:F25)*2</f>
        <v>10</v>
      </c>
      <c r="G26" s="109">
        <f t="shared" si="6"/>
        <v>8</v>
      </c>
      <c r="H26" s="109">
        <f>SUM(H21:H25) *-1</f>
        <v>-11</v>
      </c>
      <c r="I26" s="110">
        <f>SUM(C26:H26)</f>
        <v>208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>
        <f>I35</f>
        <v>218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93</v>
      </c>
      <c r="C30" s="60">
        <v>5.0</v>
      </c>
      <c r="D30" s="60">
        <v>4.0</v>
      </c>
      <c r="E30" s="60">
        <v>5.0</v>
      </c>
      <c r="F30" s="60">
        <v>1.0</v>
      </c>
      <c r="G30" s="60">
        <v>0.0</v>
      </c>
      <c r="H30" s="71">
        <v>1.0</v>
      </c>
      <c r="I30" s="73">
        <f t="shared" ref="I30:I34" si="7">sum(C30+1.2*D30+1.5*E30+2*F30+2*G30)-H30</f>
        <v>18.3</v>
      </c>
    </row>
    <row r="31">
      <c r="A31" s="76" t="s">
        <v>215</v>
      </c>
      <c r="B31" s="36" t="s">
        <v>72</v>
      </c>
      <c r="C31" s="60">
        <v>43.0</v>
      </c>
      <c r="D31" s="60">
        <v>5.0</v>
      </c>
      <c r="E31" s="60">
        <v>7.0</v>
      </c>
      <c r="F31" s="60">
        <v>3.0</v>
      </c>
      <c r="G31" s="60">
        <v>1.0</v>
      </c>
      <c r="H31" s="71">
        <v>1.0</v>
      </c>
      <c r="I31" s="73">
        <f t="shared" si="7"/>
        <v>66.5</v>
      </c>
    </row>
    <row r="32">
      <c r="A32" s="76" t="s">
        <v>216</v>
      </c>
      <c r="B32" s="36" t="s">
        <v>69</v>
      </c>
      <c r="C32" s="60">
        <v>35.0</v>
      </c>
      <c r="D32" s="60">
        <v>8.0</v>
      </c>
      <c r="E32" s="60">
        <v>10.0</v>
      </c>
      <c r="F32" s="60">
        <v>1.0</v>
      </c>
      <c r="G32" s="60">
        <v>0.0</v>
      </c>
      <c r="H32" s="71">
        <v>2.0</v>
      </c>
      <c r="I32" s="73">
        <f t="shared" si="7"/>
        <v>59.6</v>
      </c>
    </row>
    <row r="33">
      <c r="A33" s="76" t="s">
        <v>216</v>
      </c>
      <c r="B33" s="76" t="s">
        <v>51</v>
      </c>
      <c r="C33" s="60">
        <v>19.0</v>
      </c>
      <c r="D33" s="60">
        <v>9.0</v>
      </c>
      <c r="E33" s="60">
        <v>6.0</v>
      </c>
      <c r="F33" s="60">
        <v>0.0</v>
      </c>
      <c r="G33" s="60">
        <v>0.0</v>
      </c>
      <c r="H33" s="71">
        <v>3.0</v>
      </c>
      <c r="I33" s="73">
        <f t="shared" si="7"/>
        <v>35.8</v>
      </c>
    </row>
    <row r="34">
      <c r="A34" s="76" t="s">
        <v>216</v>
      </c>
      <c r="B34" s="70" t="s">
        <v>108</v>
      </c>
      <c r="C34" s="68">
        <v>9.0</v>
      </c>
      <c r="D34" s="68">
        <v>14.0</v>
      </c>
      <c r="E34" s="68">
        <v>6.0</v>
      </c>
      <c r="F34" s="68">
        <v>0.0</v>
      </c>
      <c r="G34" s="68">
        <v>2.0</v>
      </c>
      <c r="H34" s="79">
        <v>1.0</v>
      </c>
      <c r="I34" s="73">
        <f t="shared" si="7"/>
        <v>37.8</v>
      </c>
    </row>
    <row r="35">
      <c r="A35" s="96"/>
      <c r="B35" s="108" t="s">
        <v>217</v>
      </c>
      <c r="C35" s="109">
        <f>SUM(C30:C34)</f>
        <v>111</v>
      </c>
      <c r="D35" s="109">
        <f>SUM(D30:D34)*1.2</f>
        <v>48</v>
      </c>
      <c r="E35" s="109">
        <f>SUM(E30:E34)*1.5</f>
        <v>51</v>
      </c>
      <c r="F35" s="109">
        <f t="shared" ref="F35:G35" si="8">SUM(F30:F34)*2</f>
        <v>10</v>
      </c>
      <c r="G35" s="109">
        <f t="shared" si="8"/>
        <v>6</v>
      </c>
      <c r="H35" s="109">
        <f>SUM(H30:H34) *-1</f>
        <v>-8</v>
      </c>
      <c r="I35" s="110">
        <f>SUM(C35:H35)</f>
        <v>218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147.8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74</v>
      </c>
      <c r="C3" s="60">
        <v>17.0</v>
      </c>
      <c r="D3" s="60">
        <v>3.0</v>
      </c>
      <c r="E3" s="60">
        <v>3.0</v>
      </c>
      <c r="F3" s="60">
        <v>1.0</v>
      </c>
      <c r="G3" s="60">
        <v>0.0</v>
      </c>
      <c r="H3" s="71">
        <v>4.0</v>
      </c>
      <c r="I3" s="72">
        <f t="shared" ref="I3:I7" si="1">sum(C3+1.2*D3+1.5*E3+2*F3+2*G3)-H3</f>
        <v>23.1</v>
      </c>
    </row>
    <row r="4">
      <c r="A4" s="76" t="s">
        <v>215</v>
      </c>
      <c r="B4" s="76" t="s">
        <v>118</v>
      </c>
      <c r="C4" s="60">
        <v>26.0</v>
      </c>
      <c r="D4" s="60">
        <v>5.0</v>
      </c>
      <c r="E4" s="60">
        <v>5.0</v>
      </c>
      <c r="F4" s="60">
        <v>2.0</v>
      </c>
      <c r="G4" s="60">
        <v>1.0</v>
      </c>
      <c r="H4" s="71">
        <v>2.0</v>
      </c>
      <c r="I4" s="72">
        <f t="shared" si="1"/>
        <v>43.5</v>
      </c>
    </row>
    <row r="5">
      <c r="A5" s="76" t="s">
        <v>216</v>
      </c>
      <c r="B5" s="70" t="s">
        <v>77</v>
      </c>
      <c r="C5" s="60">
        <v>17.0</v>
      </c>
      <c r="D5" s="60">
        <v>9.0</v>
      </c>
      <c r="E5" s="60">
        <v>2.0</v>
      </c>
      <c r="F5" s="60">
        <v>1.0</v>
      </c>
      <c r="G5" s="60">
        <v>0.0</v>
      </c>
      <c r="H5" s="71">
        <v>1.0</v>
      </c>
      <c r="I5" s="72">
        <f t="shared" si="1"/>
        <v>31.8</v>
      </c>
    </row>
    <row r="6">
      <c r="A6" s="76" t="s">
        <v>216</v>
      </c>
      <c r="B6" s="76" t="s">
        <v>91</v>
      </c>
      <c r="C6" s="60">
        <v>17.0</v>
      </c>
      <c r="D6" s="60">
        <v>7.0</v>
      </c>
      <c r="E6" s="60">
        <v>1.0</v>
      </c>
      <c r="F6" s="60">
        <v>1.0</v>
      </c>
      <c r="G6" s="60">
        <v>2.0</v>
      </c>
      <c r="H6" s="71">
        <v>0.0</v>
      </c>
      <c r="I6" s="72">
        <f t="shared" si="1"/>
        <v>32.9</v>
      </c>
    </row>
    <row r="7">
      <c r="A7" s="76" t="s">
        <v>216</v>
      </c>
      <c r="B7" s="36" t="s">
        <v>86</v>
      </c>
      <c r="C7" s="77">
        <v>12.0</v>
      </c>
      <c r="D7" s="77">
        <v>5.0</v>
      </c>
      <c r="E7" s="77">
        <v>1.0</v>
      </c>
      <c r="F7" s="77">
        <v>0.0</v>
      </c>
      <c r="G7" s="77">
        <v>0.0</v>
      </c>
      <c r="H7" s="78">
        <v>3.0</v>
      </c>
      <c r="I7" s="72">
        <f t="shared" si="1"/>
        <v>16.5</v>
      </c>
    </row>
    <row r="8">
      <c r="A8" s="96"/>
      <c r="B8" s="102" t="s">
        <v>217</v>
      </c>
      <c r="C8" s="103">
        <f>SUM(C3:C7)</f>
        <v>89</v>
      </c>
      <c r="D8" s="103">
        <f>SUM(D3:D7)*1.2</f>
        <v>34.8</v>
      </c>
      <c r="E8" s="103">
        <f>SUM(E3:E7)*1.5</f>
        <v>18</v>
      </c>
      <c r="F8" s="103">
        <f t="shared" ref="F8:G8" si="2">SUM(F3:F7)*2</f>
        <v>10</v>
      </c>
      <c r="G8" s="103">
        <f t="shared" si="2"/>
        <v>6</v>
      </c>
      <c r="H8" s="104">
        <f>SUM(H3:H7) *-1</f>
        <v>-10</v>
      </c>
      <c r="I8" s="105">
        <f>SUM(C8:H8)</f>
        <v>147.8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>
        <f>I17</f>
        <v>120.6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87</v>
      </c>
      <c r="C12" s="60">
        <v>22.0</v>
      </c>
      <c r="D12" s="60">
        <v>0.0</v>
      </c>
      <c r="E12" s="60">
        <v>5.0</v>
      </c>
      <c r="F12" s="60">
        <v>1.0</v>
      </c>
      <c r="G12" s="60">
        <v>0.0</v>
      </c>
      <c r="H12" s="71">
        <v>2.0</v>
      </c>
      <c r="I12" s="73">
        <f t="shared" ref="I12:I16" si="3">sum(C12+1.2*D12+1.5*E12+2*F12+2*G12)-H12</f>
        <v>29.5</v>
      </c>
    </row>
    <row r="13">
      <c r="A13" s="76" t="s">
        <v>215</v>
      </c>
      <c r="B13" s="76" t="s">
        <v>252</v>
      </c>
      <c r="C13" s="60">
        <v>18.0</v>
      </c>
      <c r="D13" s="60">
        <v>3.0</v>
      </c>
      <c r="E13" s="60">
        <v>5.0</v>
      </c>
      <c r="F13" s="60">
        <v>0.0</v>
      </c>
      <c r="G13" s="60">
        <v>1.0</v>
      </c>
      <c r="H13" s="71">
        <v>1.0</v>
      </c>
      <c r="I13" s="73">
        <f t="shared" si="3"/>
        <v>30.1</v>
      </c>
    </row>
    <row r="14">
      <c r="A14" s="76" t="s">
        <v>216</v>
      </c>
      <c r="B14" s="76" t="s">
        <v>105</v>
      </c>
      <c r="C14" s="60">
        <v>14.0</v>
      </c>
      <c r="D14" s="60">
        <v>12.0</v>
      </c>
      <c r="E14" s="60">
        <v>2.0</v>
      </c>
      <c r="F14" s="60">
        <v>6.0</v>
      </c>
      <c r="G14" s="60">
        <v>0.0</v>
      </c>
      <c r="H14" s="71">
        <v>0.0</v>
      </c>
      <c r="I14" s="73">
        <f t="shared" si="3"/>
        <v>43.4</v>
      </c>
    </row>
    <row r="15">
      <c r="A15" s="76" t="s">
        <v>216</v>
      </c>
      <c r="B15" s="76" t="s">
        <v>126</v>
      </c>
      <c r="C15" s="60">
        <v>6.0</v>
      </c>
      <c r="D15" s="60">
        <v>8.0</v>
      </c>
      <c r="E15" s="60">
        <v>2.0</v>
      </c>
      <c r="F15" s="60">
        <v>0.0</v>
      </c>
      <c r="G15" s="60">
        <v>0.0</v>
      </c>
      <c r="H15" s="71">
        <v>1.0</v>
      </c>
      <c r="I15" s="73">
        <f t="shared" si="3"/>
        <v>17.6</v>
      </c>
    </row>
    <row r="16">
      <c r="A16" s="76" t="s">
        <v>216</v>
      </c>
      <c r="B16" s="70" t="s">
        <v>131</v>
      </c>
      <c r="C16" s="77">
        <v>0.0</v>
      </c>
      <c r="D16" s="77">
        <v>0.0</v>
      </c>
      <c r="E16" s="77">
        <v>0.0</v>
      </c>
      <c r="F16" s="77">
        <v>0.0</v>
      </c>
      <c r="G16" s="77">
        <v>0.0</v>
      </c>
      <c r="H16" s="78">
        <v>0.0</v>
      </c>
      <c r="I16" s="73">
        <f t="shared" si="3"/>
        <v>0</v>
      </c>
    </row>
    <row r="17">
      <c r="A17" s="96"/>
      <c r="B17" s="102" t="s">
        <v>217</v>
      </c>
      <c r="C17" s="103">
        <f>SUM(C12:C16)</f>
        <v>60</v>
      </c>
      <c r="D17" s="103">
        <f>SUM(D12:D16)*1.2</f>
        <v>27.6</v>
      </c>
      <c r="E17" s="103">
        <f>SUM(E12:E16)*1.5</f>
        <v>21</v>
      </c>
      <c r="F17" s="103">
        <f t="shared" ref="F17:G17" si="4">SUM(F12:F16)*2</f>
        <v>14</v>
      </c>
      <c r="G17" s="103">
        <f t="shared" si="4"/>
        <v>2</v>
      </c>
      <c r="H17" s="104">
        <f>SUM(H12:H16) *-1</f>
        <v>-4</v>
      </c>
      <c r="I17" s="105">
        <f>SUM(C17:H17)</f>
        <v>120.6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132.2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109</v>
      </c>
      <c r="C21" s="60">
        <v>8.0</v>
      </c>
      <c r="D21" s="60">
        <v>3.0</v>
      </c>
      <c r="E21" s="60">
        <v>1.0</v>
      </c>
      <c r="F21" s="60">
        <v>0.0</v>
      </c>
      <c r="G21" s="60">
        <v>0.0</v>
      </c>
      <c r="H21" s="71">
        <v>5.0</v>
      </c>
      <c r="I21" s="73">
        <f t="shared" ref="I21:I25" si="5">sum(C21+1.2*D21+1.5*E21+2*F21+2*G21)-H21</f>
        <v>8.1</v>
      </c>
    </row>
    <row r="22">
      <c r="A22" s="76" t="s">
        <v>215</v>
      </c>
      <c r="B22" s="36" t="s">
        <v>253</v>
      </c>
      <c r="C22" s="60">
        <v>25.0</v>
      </c>
      <c r="D22" s="60">
        <v>2.0</v>
      </c>
      <c r="E22" s="60">
        <v>6.0</v>
      </c>
      <c r="F22" s="60">
        <v>0.0</v>
      </c>
      <c r="G22" s="60">
        <v>0.0</v>
      </c>
      <c r="H22" s="71">
        <v>2.0</v>
      </c>
      <c r="I22" s="73">
        <f t="shared" si="5"/>
        <v>34.4</v>
      </c>
    </row>
    <row r="23">
      <c r="A23" s="76" t="s">
        <v>216</v>
      </c>
      <c r="B23" s="76" t="s">
        <v>65</v>
      </c>
      <c r="C23" s="60">
        <v>31.0</v>
      </c>
      <c r="D23" s="60">
        <v>10.0</v>
      </c>
      <c r="E23" s="60">
        <v>5.0</v>
      </c>
      <c r="F23" s="60">
        <v>2.0</v>
      </c>
      <c r="G23" s="60">
        <v>0.0</v>
      </c>
      <c r="H23" s="71">
        <v>0.0</v>
      </c>
      <c r="I23" s="73">
        <f t="shared" si="5"/>
        <v>54.5</v>
      </c>
    </row>
    <row r="24">
      <c r="A24" s="76" t="s">
        <v>216</v>
      </c>
      <c r="B24" s="76" t="s">
        <v>102</v>
      </c>
      <c r="C24" s="60">
        <v>3.0</v>
      </c>
      <c r="D24" s="60">
        <v>5.0</v>
      </c>
      <c r="E24" s="60">
        <v>4.0</v>
      </c>
      <c r="F24" s="60">
        <v>1.0</v>
      </c>
      <c r="G24" s="60">
        <v>0.0</v>
      </c>
      <c r="H24" s="71">
        <v>2.0</v>
      </c>
      <c r="I24" s="73">
        <f t="shared" si="5"/>
        <v>15</v>
      </c>
    </row>
    <row r="25">
      <c r="A25" s="76" t="s">
        <v>216</v>
      </c>
      <c r="B25" s="76" t="s">
        <v>46</v>
      </c>
      <c r="C25" s="60">
        <v>11.0</v>
      </c>
      <c r="D25" s="60">
        <v>6.0</v>
      </c>
      <c r="E25" s="60">
        <v>0.0</v>
      </c>
      <c r="F25" s="60">
        <v>1.0</v>
      </c>
      <c r="G25" s="60">
        <v>0.0</v>
      </c>
      <c r="H25" s="71">
        <v>0.0</v>
      </c>
      <c r="I25" s="73">
        <f t="shared" si="5"/>
        <v>20.2</v>
      </c>
    </row>
    <row r="26">
      <c r="A26" s="96"/>
      <c r="B26" s="108" t="s">
        <v>217</v>
      </c>
      <c r="C26" s="109">
        <f>SUM(C21:C25)</f>
        <v>78</v>
      </c>
      <c r="D26" s="109">
        <f>SUM(D21:D25)*1.2</f>
        <v>31.2</v>
      </c>
      <c r="E26" s="109">
        <f>SUM(E21:E25)*1.5</f>
        <v>24</v>
      </c>
      <c r="F26" s="109">
        <f t="shared" ref="F26:G26" si="6">SUM(F21:F25)*2</f>
        <v>8</v>
      </c>
      <c r="G26" s="109">
        <f t="shared" si="6"/>
        <v>0</v>
      </c>
      <c r="H26" s="109">
        <f>SUM(H21:H25) *-1</f>
        <v>-9</v>
      </c>
      <c r="I26" s="110">
        <f>SUM(C26:H26)</f>
        <v>132.2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107.5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47</v>
      </c>
      <c r="C30" s="60">
        <v>4.0</v>
      </c>
      <c r="D30" s="60">
        <v>1.0</v>
      </c>
      <c r="E30" s="60">
        <v>1.0</v>
      </c>
      <c r="F30" s="60">
        <v>0.0</v>
      </c>
      <c r="G30" s="60">
        <v>0.0</v>
      </c>
      <c r="H30" s="71">
        <v>1.0</v>
      </c>
      <c r="I30" s="73">
        <f t="shared" ref="I30:I34" si="7">sum(C30+1.2*D30+1.5*E30+2*F30+2*G30)-H30</f>
        <v>5.7</v>
      </c>
    </row>
    <row r="31">
      <c r="A31" s="76" t="s">
        <v>215</v>
      </c>
      <c r="B31" s="36" t="s">
        <v>123</v>
      </c>
      <c r="C31" s="60">
        <v>8.0</v>
      </c>
      <c r="D31" s="60">
        <v>0.0</v>
      </c>
      <c r="E31" s="60">
        <v>5.0</v>
      </c>
      <c r="F31" s="60">
        <v>0.0</v>
      </c>
      <c r="G31" s="60">
        <v>0.0</v>
      </c>
      <c r="H31" s="71">
        <v>3.0</v>
      </c>
      <c r="I31" s="73">
        <f t="shared" si="7"/>
        <v>12.5</v>
      </c>
    </row>
    <row r="32">
      <c r="A32" s="76" t="s">
        <v>216</v>
      </c>
      <c r="B32" s="36" t="s">
        <v>56</v>
      </c>
      <c r="C32" s="60">
        <v>13.0</v>
      </c>
      <c r="D32" s="60">
        <v>12.0</v>
      </c>
      <c r="E32" s="60">
        <v>4.0</v>
      </c>
      <c r="F32" s="60">
        <v>1.0</v>
      </c>
      <c r="G32" s="60">
        <v>0.0</v>
      </c>
      <c r="H32" s="71">
        <v>3.0</v>
      </c>
      <c r="I32" s="73">
        <f t="shared" si="7"/>
        <v>32.4</v>
      </c>
    </row>
    <row r="33">
      <c r="A33" s="76" t="s">
        <v>216</v>
      </c>
      <c r="B33" s="76" t="s">
        <v>76</v>
      </c>
      <c r="C33" s="60">
        <v>27.0</v>
      </c>
      <c r="D33" s="60">
        <v>5.0</v>
      </c>
      <c r="E33" s="60">
        <v>6.0</v>
      </c>
      <c r="F33" s="60">
        <v>0.0</v>
      </c>
      <c r="G33" s="60">
        <v>1.0</v>
      </c>
      <c r="H33" s="71">
        <v>1.0</v>
      </c>
      <c r="I33" s="73">
        <f t="shared" si="7"/>
        <v>43</v>
      </c>
    </row>
    <row r="34">
      <c r="A34" s="76" t="s">
        <v>216</v>
      </c>
      <c r="B34" s="70" t="s">
        <v>136</v>
      </c>
      <c r="C34" s="68">
        <v>6.0</v>
      </c>
      <c r="D34" s="68">
        <v>2.0</v>
      </c>
      <c r="E34" s="68">
        <v>3.0</v>
      </c>
      <c r="F34" s="68">
        <v>0.0</v>
      </c>
      <c r="G34" s="68">
        <v>1.0</v>
      </c>
      <c r="H34" s="79">
        <v>1.0</v>
      </c>
      <c r="I34" s="73">
        <f t="shared" si="7"/>
        <v>13.9</v>
      </c>
    </row>
    <row r="35">
      <c r="A35" s="96"/>
      <c r="B35" s="108" t="s">
        <v>217</v>
      </c>
      <c r="C35" s="109">
        <f>SUM(C30:C34)</f>
        <v>58</v>
      </c>
      <c r="D35" s="109">
        <f>SUM(D30:D34)*1.2</f>
        <v>24</v>
      </c>
      <c r="E35" s="109">
        <f>SUM(E30:E34)*1.5</f>
        <v>28.5</v>
      </c>
      <c r="F35" s="109">
        <f t="shared" ref="F35:G35" si="8">SUM(F30:F34)*2</f>
        <v>2</v>
      </c>
      <c r="G35" s="109">
        <f t="shared" si="8"/>
        <v>4</v>
      </c>
      <c r="H35" s="109">
        <f>SUM(H30:H34) *-1</f>
        <v>-9</v>
      </c>
      <c r="I35" s="110">
        <f>SUM(C35:H35)</f>
        <v>107.5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214.4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100</v>
      </c>
      <c r="C3" s="60">
        <v>8.0</v>
      </c>
      <c r="D3" s="60">
        <v>6.0</v>
      </c>
      <c r="E3" s="60">
        <v>1.0</v>
      </c>
      <c r="F3" s="60">
        <v>3.0</v>
      </c>
      <c r="G3" s="60">
        <v>1.0</v>
      </c>
      <c r="H3" s="71">
        <v>1.0</v>
      </c>
      <c r="I3" s="72">
        <f t="shared" ref="I3:I7" si="1">sum(C3+1.2*D3+1.5*E3+2*F3+2*G3)-H3</f>
        <v>23.7</v>
      </c>
    </row>
    <row r="4">
      <c r="A4" s="76" t="s">
        <v>215</v>
      </c>
      <c r="B4" s="76" t="s">
        <v>84</v>
      </c>
      <c r="C4" s="60">
        <v>32.0</v>
      </c>
      <c r="D4" s="60">
        <v>5.0</v>
      </c>
      <c r="E4" s="60">
        <v>11.0</v>
      </c>
      <c r="F4" s="60">
        <v>0.0</v>
      </c>
      <c r="G4" s="60">
        <v>1.0</v>
      </c>
      <c r="H4" s="71">
        <v>2.0</v>
      </c>
      <c r="I4" s="72">
        <f t="shared" si="1"/>
        <v>54.5</v>
      </c>
    </row>
    <row r="5">
      <c r="A5" s="76" t="s">
        <v>216</v>
      </c>
      <c r="B5" s="70" t="s">
        <v>248</v>
      </c>
      <c r="C5" s="60">
        <v>28.0</v>
      </c>
      <c r="D5" s="60">
        <v>15.0</v>
      </c>
      <c r="E5" s="60">
        <v>6.0</v>
      </c>
      <c r="F5" s="60">
        <v>1.0</v>
      </c>
      <c r="G5" s="60">
        <v>0.0</v>
      </c>
      <c r="H5" s="71">
        <v>2.0</v>
      </c>
      <c r="I5" s="72">
        <f t="shared" si="1"/>
        <v>55</v>
      </c>
    </row>
    <row r="6">
      <c r="A6" s="76" t="s">
        <v>216</v>
      </c>
      <c r="B6" s="76" t="s">
        <v>54</v>
      </c>
      <c r="C6" s="60">
        <v>24.0</v>
      </c>
      <c r="D6" s="60">
        <v>6.0</v>
      </c>
      <c r="E6" s="60">
        <v>7.0</v>
      </c>
      <c r="F6" s="60">
        <v>0.0</v>
      </c>
      <c r="G6" s="60">
        <v>0.0</v>
      </c>
      <c r="H6" s="71">
        <v>2.0</v>
      </c>
      <c r="I6" s="72">
        <f t="shared" si="1"/>
        <v>39.7</v>
      </c>
    </row>
    <row r="7">
      <c r="A7" s="76" t="s">
        <v>216</v>
      </c>
      <c r="B7" s="36" t="s">
        <v>114</v>
      </c>
      <c r="C7" s="77">
        <v>23.0</v>
      </c>
      <c r="D7" s="77">
        <v>5.0</v>
      </c>
      <c r="E7" s="77">
        <v>3.0</v>
      </c>
      <c r="F7" s="77">
        <v>0.0</v>
      </c>
      <c r="G7" s="77">
        <v>4.0</v>
      </c>
      <c r="H7" s="78">
        <v>0.0</v>
      </c>
      <c r="I7" s="72">
        <f t="shared" si="1"/>
        <v>41.5</v>
      </c>
    </row>
    <row r="8">
      <c r="A8" s="96"/>
      <c r="B8" s="102" t="s">
        <v>217</v>
      </c>
      <c r="C8" s="103">
        <f>SUM(C3:C7)</f>
        <v>115</v>
      </c>
      <c r="D8" s="103">
        <f>SUM(D3:D7)*1.2</f>
        <v>44.4</v>
      </c>
      <c r="E8" s="103">
        <f>SUM(E3:E7)*1.5</f>
        <v>42</v>
      </c>
      <c r="F8" s="103">
        <f t="shared" ref="F8:G8" si="2">SUM(F3:F7)*2</f>
        <v>8</v>
      </c>
      <c r="G8" s="103">
        <f t="shared" si="2"/>
        <v>12</v>
      </c>
      <c r="H8" s="104">
        <f>SUM(H3:H7) *-1</f>
        <v>-7</v>
      </c>
      <c r="I8" s="105">
        <f>SUM(C8:H8)</f>
        <v>214.4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>
        <f>I17</f>
        <v>191.8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79</v>
      </c>
      <c r="C12" s="60">
        <v>38.0</v>
      </c>
      <c r="D12" s="60">
        <v>1.0</v>
      </c>
      <c r="E12" s="60">
        <v>2.0</v>
      </c>
      <c r="F12" s="60">
        <v>1.0</v>
      </c>
      <c r="G12" s="60">
        <v>1.0</v>
      </c>
      <c r="H12" s="71">
        <v>4.0</v>
      </c>
      <c r="I12" s="73">
        <f t="shared" ref="I12:I16" si="3">sum(C12+1.2*D12+1.5*E12+2*F12+2*G12)-H12</f>
        <v>42.2</v>
      </c>
    </row>
    <row r="13">
      <c r="A13" s="76" t="s">
        <v>215</v>
      </c>
      <c r="B13" s="76" t="s">
        <v>78</v>
      </c>
      <c r="C13" s="60">
        <v>43.0</v>
      </c>
      <c r="D13" s="60">
        <v>9.0</v>
      </c>
      <c r="E13" s="60">
        <v>6.0</v>
      </c>
      <c r="F13" s="60">
        <v>0.0</v>
      </c>
      <c r="G13" s="60">
        <v>1.0</v>
      </c>
      <c r="H13" s="71">
        <v>1.0</v>
      </c>
      <c r="I13" s="73">
        <f t="shared" si="3"/>
        <v>63.8</v>
      </c>
    </row>
    <row r="14">
      <c r="A14" s="76" t="s">
        <v>216</v>
      </c>
      <c r="B14" s="76" t="s">
        <v>98</v>
      </c>
      <c r="C14" s="60">
        <v>21.0</v>
      </c>
      <c r="D14" s="60">
        <v>11.0</v>
      </c>
      <c r="E14" s="60">
        <v>1.0</v>
      </c>
      <c r="F14" s="60">
        <v>2.0</v>
      </c>
      <c r="G14" s="60">
        <v>0.0</v>
      </c>
      <c r="H14" s="71">
        <v>4.0</v>
      </c>
      <c r="I14" s="73">
        <f t="shared" si="3"/>
        <v>35.7</v>
      </c>
    </row>
    <row r="15">
      <c r="A15" s="76" t="s">
        <v>216</v>
      </c>
      <c r="B15" s="76" t="s">
        <v>45</v>
      </c>
      <c r="C15" s="60">
        <v>19.0</v>
      </c>
      <c r="D15" s="60">
        <v>5.0</v>
      </c>
      <c r="E15" s="60">
        <v>1.0</v>
      </c>
      <c r="F15" s="60">
        <v>1.0</v>
      </c>
      <c r="G15" s="60">
        <v>0.0</v>
      </c>
      <c r="H15" s="71">
        <v>1.0</v>
      </c>
      <c r="I15" s="73">
        <f t="shared" si="3"/>
        <v>27.5</v>
      </c>
    </row>
    <row r="16">
      <c r="A16" s="76" t="s">
        <v>216</v>
      </c>
      <c r="B16" s="70" t="s">
        <v>111</v>
      </c>
      <c r="C16" s="77">
        <v>12.0</v>
      </c>
      <c r="D16" s="77">
        <v>3.0</v>
      </c>
      <c r="E16" s="77">
        <v>4.0</v>
      </c>
      <c r="F16" s="77">
        <v>0.0</v>
      </c>
      <c r="G16" s="77">
        <v>1.0</v>
      </c>
      <c r="H16" s="78">
        <v>1.0</v>
      </c>
      <c r="I16" s="73">
        <f t="shared" si="3"/>
        <v>22.6</v>
      </c>
    </row>
    <row r="17">
      <c r="A17" s="96"/>
      <c r="B17" s="102" t="s">
        <v>217</v>
      </c>
      <c r="C17" s="103">
        <f>SUM(C12:C16)</f>
        <v>133</v>
      </c>
      <c r="D17" s="103">
        <f>SUM(D12:D16)*1.2</f>
        <v>34.8</v>
      </c>
      <c r="E17" s="103">
        <f>SUM(E12:E16)*1.5</f>
        <v>21</v>
      </c>
      <c r="F17" s="103">
        <f t="shared" ref="F17:G17" si="4">SUM(F12:F16)*2</f>
        <v>8</v>
      </c>
      <c r="G17" s="103">
        <f t="shared" si="4"/>
        <v>6</v>
      </c>
      <c r="H17" s="104">
        <f>SUM(H12:H16) *-1</f>
        <v>-11</v>
      </c>
      <c r="I17" s="105">
        <f>SUM(C17:H17)</f>
        <v>191.8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231.4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75</v>
      </c>
      <c r="C21" s="60">
        <v>25.0</v>
      </c>
      <c r="D21" s="60">
        <v>10.0</v>
      </c>
      <c r="E21" s="60">
        <v>10.0</v>
      </c>
      <c r="F21" s="60">
        <v>0.0</v>
      </c>
      <c r="G21" s="60">
        <v>4.0</v>
      </c>
      <c r="H21" s="71">
        <v>7.0</v>
      </c>
      <c r="I21" s="73">
        <f t="shared" ref="I21:I25" si="5">sum(C21+1.2*D21+1.5*E21+2*F21+2*G21)-H21</f>
        <v>53</v>
      </c>
    </row>
    <row r="22">
      <c r="A22" s="76" t="s">
        <v>215</v>
      </c>
      <c r="B22" s="36" t="s">
        <v>93</v>
      </c>
      <c r="C22" s="60">
        <v>18.0</v>
      </c>
      <c r="D22" s="60">
        <v>7.0</v>
      </c>
      <c r="E22" s="60">
        <v>7.0</v>
      </c>
      <c r="F22" s="60">
        <v>0.0</v>
      </c>
      <c r="G22" s="60">
        <v>1.0</v>
      </c>
      <c r="H22" s="71">
        <v>1.0</v>
      </c>
      <c r="I22" s="73">
        <f t="shared" si="5"/>
        <v>37.9</v>
      </c>
    </row>
    <row r="23">
      <c r="A23" s="76" t="s">
        <v>216</v>
      </c>
      <c r="B23" s="76" t="s">
        <v>69</v>
      </c>
      <c r="C23" s="60">
        <v>37.0</v>
      </c>
      <c r="D23" s="60">
        <v>14.0</v>
      </c>
      <c r="E23" s="60">
        <v>3.0</v>
      </c>
      <c r="F23" s="60">
        <v>3.0</v>
      </c>
      <c r="G23" s="60">
        <v>0.0</v>
      </c>
      <c r="H23" s="71">
        <v>2.0</v>
      </c>
      <c r="I23" s="73">
        <f t="shared" si="5"/>
        <v>62.3</v>
      </c>
    </row>
    <row r="24">
      <c r="A24" s="76" t="s">
        <v>216</v>
      </c>
      <c r="B24" s="76" t="s">
        <v>88</v>
      </c>
      <c r="C24" s="60">
        <v>25.0</v>
      </c>
      <c r="D24" s="60">
        <v>7.0</v>
      </c>
      <c r="E24" s="60">
        <v>3.0</v>
      </c>
      <c r="F24" s="60">
        <v>1.0</v>
      </c>
      <c r="G24" s="60">
        <v>0.0</v>
      </c>
      <c r="H24" s="71">
        <v>0.0</v>
      </c>
      <c r="I24" s="73">
        <f t="shared" si="5"/>
        <v>39.9</v>
      </c>
    </row>
    <row r="25">
      <c r="A25" s="76" t="s">
        <v>216</v>
      </c>
      <c r="B25" s="76" t="s">
        <v>70</v>
      </c>
      <c r="C25" s="60">
        <v>27.0</v>
      </c>
      <c r="D25" s="60">
        <v>9.0</v>
      </c>
      <c r="E25" s="60">
        <v>1.0</v>
      </c>
      <c r="F25" s="60">
        <v>0.0</v>
      </c>
      <c r="G25" s="60">
        <v>1.0</v>
      </c>
      <c r="H25" s="71">
        <v>3.0</v>
      </c>
      <c r="I25" s="73">
        <f t="shared" si="5"/>
        <v>38.3</v>
      </c>
    </row>
    <row r="26">
      <c r="A26" s="96"/>
      <c r="B26" s="108" t="s">
        <v>217</v>
      </c>
      <c r="C26" s="109">
        <f>SUM(C21:C25)</f>
        <v>132</v>
      </c>
      <c r="D26" s="109">
        <f>SUM(D21:D25)*1.2</f>
        <v>56.4</v>
      </c>
      <c r="E26" s="109">
        <f>SUM(E21:E25)*1.5</f>
        <v>36</v>
      </c>
      <c r="F26" s="109">
        <f t="shared" ref="F26:G26" si="6">SUM(F21:F25)*2</f>
        <v>8</v>
      </c>
      <c r="G26" s="109">
        <f t="shared" si="6"/>
        <v>12</v>
      </c>
      <c r="H26" s="109">
        <f>SUM(H21:H25) *-1</f>
        <v>-13</v>
      </c>
      <c r="I26" s="110">
        <f>SUM(C26:H26)</f>
        <v>231.4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>
        <f>I35</f>
        <v>189.2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92</v>
      </c>
      <c r="C30" s="60">
        <v>17.0</v>
      </c>
      <c r="D30" s="60">
        <v>8.0</v>
      </c>
      <c r="E30" s="60">
        <v>15.0</v>
      </c>
      <c r="F30" s="60">
        <v>1.0</v>
      </c>
      <c r="G30" s="60">
        <v>0.0</v>
      </c>
      <c r="H30" s="71">
        <v>5.0</v>
      </c>
      <c r="I30" s="73">
        <f t="shared" ref="I30:I34" si="7">sum(C30+1.2*D30+1.5*E30+2*F30+2*G30)-H30</f>
        <v>46.1</v>
      </c>
    </row>
    <row r="31">
      <c r="A31" s="76" t="s">
        <v>215</v>
      </c>
      <c r="B31" s="36" t="s">
        <v>112</v>
      </c>
      <c r="C31" s="60">
        <v>0.0</v>
      </c>
      <c r="D31" s="60">
        <v>2.0</v>
      </c>
      <c r="E31" s="60">
        <v>2.0</v>
      </c>
      <c r="F31" s="60">
        <v>0.0</v>
      </c>
      <c r="G31" s="60">
        <v>0.0</v>
      </c>
      <c r="H31" s="71">
        <v>0.0</v>
      </c>
      <c r="I31" s="73">
        <f t="shared" si="7"/>
        <v>5.4</v>
      </c>
    </row>
    <row r="32">
      <c r="A32" s="76" t="s">
        <v>216</v>
      </c>
      <c r="B32" s="36" t="s">
        <v>51</v>
      </c>
      <c r="C32" s="60">
        <v>31.0</v>
      </c>
      <c r="D32" s="60">
        <v>7.0</v>
      </c>
      <c r="E32" s="60">
        <v>3.0</v>
      </c>
      <c r="F32" s="60">
        <v>0.0</v>
      </c>
      <c r="G32" s="60">
        <v>1.0</v>
      </c>
      <c r="H32" s="71">
        <v>4.0</v>
      </c>
      <c r="I32" s="73">
        <f t="shared" si="7"/>
        <v>41.9</v>
      </c>
    </row>
    <row r="33">
      <c r="A33" s="76" t="s">
        <v>216</v>
      </c>
      <c r="B33" s="76" t="s">
        <v>71</v>
      </c>
      <c r="C33" s="60">
        <v>27.0</v>
      </c>
      <c r="D33" s="60">
        <v>12.0</v>
      </c>
      <c r="E33" s="60">
        <v>8.0</v>
      </c>
      <c r="F33" s="60">
        <v>3.0</v>
      </c>
      <c r="G33" s="60">
        <v>3.0</v>
      </c>
      <c r="H33" s="71">
        <v>3.0</v>
      </c>
      <c r="I33" s="73">
        <f t="shared" si="7"/>
        <v>62.4</v>
      </c>
    </row>
    <row r="34">
      <c r="A34" s="76" t="s">
        <v>216</v>
      </c>
      <c r="B34" s="70" t="s">
        <v>108</v>
      </c>
      <c r="C34" s="68">
        <v>6.0</v>
      </c>
      <c r="D34" s="68">
        <v>17.0</v>
      </c>
      <c r="E34" s="68">
        <v>4.0</v>
      </c>
      <c r="F34" s="68">
        <v>0.0</v>
      </c>
      <c r="G34" s="68">
        <v>2.0</v>
      </c>
      <c r="H34" s="79">
        <v>3.0</v>
      </c>
      <c r="I34" s="73">
        <f t="shared" si="7"/>
        <v>33.4</v>
      </c>
    </row>
    <row r="35">
      <c r="A35" s="96"/>
      <c r="B35" s="108" t="s">
        <v>217</v>
      </c>
      <c r="C35" s="109">
        <f>SUM(C30:C34)</f>
        <v>81</v>
      </c>
      <c r="D35" s="109">
        <f>SUM(D30:D34)*1.2</f>
        <v>55.2</v>
      </c>
      <c r="E35" s="109">
        <f>SUM(E30:E34)*1.5</f>
        <v>48</v>
      </c>
      <c r="F35" s="109">
        <f t="shared" ref="F35:G35" si="8">SUM(F30:F34)*2</f>
        <v>8</v>
      </c>
      <c r="G35" s="109">
        <f t="shared" si="8"/>
        <v>12</v>
      </c>
      <c r="H35" s="109">
        <f>SUM(H30:H34) *-1</f>
        <v>-15</v>
      </c>
      <c r="I35" s="110">
        <f>SUM(C35:H35)</f>
        <v>189.2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181.3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254</v>
      </c>
      <c r="C3" s="60">
        <v>13.0</v>
      </c>
      <c r="D3" s="60">
        <v>3.0</v>
      </c>
      <c r="E3" s="60">
        <v>1.0</v>
      </c>
      <c r="F3" s="60">
        <v>0.0</v>
      </c>
      <c r="G3" s="60">
        <v>0.0</v>
      </c>
      <c r="H3" s="71">
        <v>1.0</v>
      </c>
      <c r="I3" s="72">
        <f t="shared" ref="I3:I7" si="1">sum(C3+1.2*D3+1.5*E3+2*F3+2*G3)-H3</f>
        <v>17.1</v>
      </c>
    </row>
    <row r="4">
      <c r="A4" s="76" t="s">
        <v>215</v>
      </c>
      <c r="B4" s="76" t="s">
        <v>47</v>
      </c>
      <c r="C4" s="60">
        <v>13.0</v>
      </c>
      <c r="D4" s="60">
        <v>4.0</v>
      </c>
      <c r="E4" s="60">
        <v>3.0</v>
      </c>
      <c r="F4" s="60">
        <v>1.0</v>
      </c>
      <c r="G4" s="60">
        <v>0.0</v>
      </c>
      <c r="H4" s="71">
        <v>3.0</v>
      </c>
      <c r="I4" s="72">
        <f t="shared" si="1"/>
        <v>21.3</v>
      </c>
    </row>
    <row r="5">
      <c r="A5" s="76" t="s">
        <v>216</v>
      </c>
      <c r="B5" s="70" t="s">
        <v>255</v>
      </c>
      <c r="C5" s="60">
        <v>36.0</v>
      </c>
      <c r="D5" s="60">
        <v>21.0</v>
      </c>
      <c r="E5" s="60">
        <v>8.0</v>
      </c>
      <c r="F5" s="60">
        <v>2.0</v>
      </c>
      <c r="G5" s="60">
        <v>1.0</v>
      </c>
      <c r="H5" s="71">
        <v>2.0</v>
      </c>
      <c r="I5" s="72">
        <f t="shared" si="1"/>
        <v>77.2</v>
      </c>
    </row>
    <row r="6">
      <c r="A6" s="76" t="s">
        <v>216</v>
      </c>
      <c r="B6" s="76" t="s">
        <v>256</v>
      </c>
      <c r="C6" s="60">
        <v>24.0</v>
      </c>
      <c r="D6" s="60">
        <v>9.0</v>
      </c>
      <c r="E6" s="60">
        <v>2.0</v>
      </c>
      <c r="F6" s="60">
        <v>2.0</v>
      </c>
      <c r="G6" s="60">
        <v>0.0</v>
      </c>
      <c r="H6" s="71">
        <v>2.0</v>
      </c>
      <c r="I6" s="72">
        <f t="shared" si="1"/>
        <v>39.8</v>
      </c>
    </row>
    <row r="7">
      <c r="A7" s="76" t="s">
        <v>216</v>
      </c>
      <c r="B7" s="36" t="s">
        <v>101</v>
      </c>
      <c r="C7" s="77">
        <v>11.0</v>
      </c>
      <c r="D7" s="77">
        <v>2.0</v>
      </c>
      <c r="E7" s="77">
        <v>1.0</v>
      </c>
      <c r="F7" s="77">
        <v>2.0</v>
      </c>
      <c r="G7" s="77">
        <v>4.0</v>
      </c>
      <c r="H7" s="78">
        <v>1.0</v>
      </c>
      <c r="I7" s="72">
        <f t="shared" si="1"/>
        <v>25.9</v>
      </c>
    </row>
    <row r="8">
      <c r="A8" s="96"/>
      <c r="B8" s="102" t="s">
        <v>217</v>
      </c>
      <c r="C8" s="103">
        <f>SUM(C3:C7)</f>
        <v>97</v>
      </c>
      <c r="D8" s="103">
        <f>SUM(D3:D7)*1.2</f>
        <v>46.8</v>
      </c>
      <c r="E8" s="103">
        <f>SUM(E3:E7)*1.5</f>
        <v>22.5</v>
      </c>
      <c r="F8" s="103">
        <f t="shared" ref="F8:G8" si="2">SUM(F3:F7)*2</f>
        <v>14</v>
      </c>
      <c r="G8" s="103">
        <f t="shared" si="2"/>
        <v>10</v>
      </c>
      <c r="H8" s="104">
        <f>SUM(H3:H7) *-1</f>
        <v>-9</v>
      </c>
      <c r="I8" s="105">
        <f>SUM(C8:H8)</f>
        <v>181.3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201.7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38.0</v>
      </c>
      <c r="D12" s="60">
        <v>5.0</v>
      </c>
      <c r="E12" s="60">
        <v>6.0</v>
      </c>
      <c r="F12" s="60">
        <v>2.0</v>
      </c>
      <c r="G12" s="60">
        <v>1.0</v>
      </c>
      <c r="H12" s="71">
        <v>1.0</v>
      </c>
      <c r="I12" s="73">
        <f t="shared" ref="I12:I16" si="3">sum(C12+1.2*D12+1.5*E12+2*F12+2*G12)-H12</f>
        <v>58</v>
      </c>
    </row>
    <row r="13">
      <c r="A13" s="76" t="s">
        <v>215</v>
      </c>
      <c r="B13" s="76" t="s">
        <v>74</v>
      </c>
      <c r="C13" s="60">
        <v>36.0</v>
      </c>
      <c r="D13" s="60">
        <v>7.0</v>
      </c>
      <c r="E13" s="60">
        <v>9.0</v>
      </c>
      <c r="F13" s="60">
        <v>1.0</v>
      </c>
      <c r="G13" s="60">
        <v>2.0</v>
      </c>
      <c r="H13" s="71">
        <v>2.0</v>
      </c>
      <c r="I13" s="73">
        <f t="shared" si="3"/>
        <v>61.9</v>
      </c>
    </row>
    <row r="14">
      <c r="A14" s="76" t="s">
        <v>216</v>
      </c>
      <c r="B14" s="76" t="s">
        <v>56</v>
      </c>
      <c r="C14" s="60">
        <v>22.0</v>
      </c>
      <c r="D14" s="60">
        <v>9.0</v>
      </c>
      <c r="E14" s="60">
        <v>1.0</v>
      </c>
      <c r="F14" s="60">
        <v>0.0</v>
      </c>
      <c r="G14" s="60">
        <v>0.0</v>
      </c>
      <c r="H14" s="71">
        <v>6.0</v>
      </c>
      <c r="I14" s="73">
        <f t="shared" si="3"/>
        <v>28.3</v>
      </c>
    </row>
    <row r="15">
      <c r="A15" s="76" t="s">
        <v>216</v>
      </c>
      <c r="B15" s="76" t="s">
        <v>91</v>
      </c>
      <c r="C15" s="60">
        <v>19.0</v>
      </c>
      <c r="D15" s="60">
        <v>6.0</v>
      </c>
      <c r="E15" s="60">
        <v>3.0</v>
      </c>
      <c r="F15" s="60">
        <v>1.0</v>
      </c>
      <c r="G15" s="60">
        <v>1.0</v>
      </c>
      <c r="H15" s="71">
        <v>2.0</v>
      </c>
      <c r="I15" s="73">
        <f t="shared" si="3"/>
        <v>32.7</v>
      </c>
    </row>
    <row r="16">
      <c r="A16" s="76" t="s">
        <v>216</v>
      </c>
      <c r="B16" s="70" t="s">
        <v>106</v>
      </c>
      <c r="C16" s="77">
        <v>12.0</v>
      </c>
      <c r="D16" s="77">
        <v>4.0</v>
      </c>
      <c r="E16" s="77">
        <v>2.0</v>
      </c>
      <c r="F16" s="77">
        <v>2.0</v>
      </c>
      <c r="G16" s="77">
        <v>1.0</v>
      </c>
      <c r="H16" s="78">
        <v>5.0</v>
      </c>
      <c r="I16" s="73">
        <f t="shared" si="3"/>
        <v>20.8</v>
      </c>
    </row>
    <row r="17">
      <c r="A17" s="96"/>
      <c r="B17" s="102" t="s">
        <v>217</v>
      </c>
      <c r="C17" s="103">
        <f>SUM(C12:C16)</f>
        <v>127</v>
      </c>
      <c r="D17" s="103">
        <f>SUM(D12:D16)*1.2</f>
        <v>37.2</v>
      </c>
      <c r="E17" s="103">
        <f>SUM(E12:E16)*1.5</f>
        <v>31.5</v>
      </c>
      <c r="F17" s="103">
        <f t="shared" ref="F17:G17" si="4">SUM(F12:F16)*2</f>
        <v>12</v>
      </c>
      <c r="G17" s="103">
        <f t="shared" si="4"/>
        <v>10</v>
      </c>
      <c r="H17" s="104">
        <f>SUM(H12:H16) *-1</f>
        <v>-16</v>
      </c>
      <c r="I17" s="105">
        <f>SUM(C17:H17)</f>
        <v>201.7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187.1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90</v>
      </c>
      <c r="C21" s="60">
        <v>15.0</v>
      </c>
      <c r="D21" s="60">
        <v>4.0</v>
      </c>
      <c r="E21" s="60">
        <v>11.0</v>
      </c>
      <c r="F21" s="60">
        <v>2.0</v>
      </c>
      <c r="G21" s="60">
        <v>2.0</v>
      </c>
      <c r="H21" s="71">
        <v>4.0</v>
      </c>
      <c r="I21" s="73">
        <f t="shared" ref="I21:I25" si="5">sum(C21+1.2*D21+1.5*E21+2*F21+2*G21)-H21</f>
        <v>40.3</v>
      </c>
    </row>
    <row r="22">
      <c r="A22" s="76" t="s">
        <v>215</v>
      </c>
      <c r="B22" s="36" t="s">
        <v>72</v>
      </c>
      <c r="C22" s="60">
        <v>13.0</v>
      </c>
      <c r="D22" s="60">
        <v>7.0</v>
      </c>
      <c r="E22" s="60">
        <v>7.0</v>
      </c>
      <c r="F22" s="60">
        <v>2.0</v>
      </c>
      <c r="G22" s="60">
        <v>0.0</v>
      </c>
      <c r="H22" s="71">
        <v>3.0</v>
      </c>
      <c r="I22" s="73">
        <f t="shared" si="5"/>
        <v>32.9</v>
      </c>
    </row>
    <row r="23">
      <c r="A23" s="76" t="s">
        <v>216</v>
      </c>
      <c r="B23" s="76" t="s">
        <v>257</v>
      </c>
      <c r="C23" s="60">
        <v>15.0</v>
      </c>
      <c r="D23" s="60">
        <v>11.0</v>
      </c>
      <c r="E23" s="60">
        <v>4.0</v>
      </c>
      <c r="F23" s="60">
        <v>0.0</v>
      </c>
      <c r="G23" s="60">
        <v>0.0</v>
      </c>
      <c r="H23" s="71">
        <v>1.0</v>
      </c>
      <c r="I23" s="73">
        <f t="shared" si="5"/>
        <v>33.2</v>
      </c>
    </row>
    <row r="24">
      <c r="A24" s="76" t="s">
        <v>216</v>
      </c>
      <c r="B24" s="76" t="s">
        <v>99</v>
      </c>
      <c r="C24" s="60">
        <v>19.0</v>
      </c>
      <c r="D24" s="60">
        <v>12.0</v>
      </c>
      <c r="E24" s="60">
        <v>6.0</v>
      </c>
      <c r="F24" s="60">
        <v>1.0</v>
      </c>
      <c r="G24" s="60">
        <v>1.0</v>
      </c>
      <c r="H24" s="71">
        <v>0.0</v>
      </c>
      <c r="I24" s="73">
        <f t="shared" si="5"/>
        <v>46.4</v>
      </c>
    </row>
    <row r="25">
      <c r="A25" s="76" t="s">
        <v>216</v>
      </c>
      <c r="B25" s="76" t="s">
        <v>80</v>
      </c>
      <c r="C25" s="60">
        <v>23.0</v>
      </c>
      <c r="D25" s="60">
        <v>4.0</v>
      </c>
      <c r="E25" s="60">
        <v>5.0</v>
      </c>
      <c r="F25" s="60">
        <v>0.0</v>
      </c>
      <c r="G25" s="60">
        <v>0.0</v>
      </c>
      <c r="H25" s="71">
        <v>1.0</v>
      </c>
      <c r="I25" s="73">
        <f t="shared" si="5"/>
        <v>34.3</v>
      </c>
    </row>
    <row r="26">
      <c r="A26" s="96"/>
      <c r="B26" s="108" t="s">
        <v>217</v>
      </c>
      <c r="C26" s="109">
        <f>SUM(C21:C25)</f>
        <v>85</v>
      </c>
      <c r="D26" s="109">
        <f>SUM(D21:D25)*1.2</f>
        <v>45.6</v>
      </c>
      <c r="E26" s="109">
        <f>SUM(E21:E25)*1.5</f>
        <v>49.5</v>
      </c>
      <c r="F26" s="109">
        <f t="shared" ref="F26:G26" si="6">SUM(F21:F25)*2</f>
        <v>10</v>
      </c>
      <c r="G26" s="109">
        <f t="shared" si="6"/>
        <v>6</v>
      </c>
      <c r="H26" s="109">
        <f>SUM(H21:H25) *-1</f>
        <v>-9</v>
      </c>
      <c r="I26" s="110">
        <f>SUM(C26:H26)</f>
        <v>187.1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>
        <f>I35</f>
        <v>0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0"/>
      <c r="C34" s="68"/>
      <c r="D34" s="68"/>
      <c r="E34" s="68"/>
      <c r="F34" s="68"/>
      <c r="G34" s="68"/>
      <c r="H34" s="79"/>
      <c r="I34" s="73">
        <f t="shared" si="7"/>
        <v>0</v>
      </c>
    </row>
    <row r="35">
      <c r="A35" s="96"/>
      <c r="B35" s="108" t="s">
        <v>217</v>
      </c>
      <c r="C35" s="109">
        <f>SUM(C30:C34)</f>
        <v>0</v>
      </c>
      <c r="D35" s="109">
        <f>SUM(D30:D34)*1.2</f>
        <v>0</v>
      </c>
      <c r="E35" s="109">
        <f>SUM(E30:E34)*1.5</f>
        <v>0</v>
      </c>
      <c r="F35" s="109">
        <f t="shared" ref="F35:G35" si="8">SUM(F30:F34)*2</f>
        <v>0</v>
      </c>
      <c r="G35" s="109">
        <f t="shared" si="8"/>
        <v>0</v>
      </c>
      <c r="H35" s="109">
        <f>SUM(H30:H34) *-1</f>
        <v>0</v>
      </c>
      <c r="I35" s="110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152.4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17.0</v>
      </c>
      <c r="D3" s="60">
        <v>7.0</v>
      </c>
      <c r="E3" s="60">
        <v>8.0</v>
      </c>
      <c r="F3" s="60">
        <v>1.0</v>
      </c>
      <c r="G3" s="60">
        <v>1.0</v>
      </c>
      <c r="H3" s="71">
        <v>5.0</v>
      </c>
      <c r="I3" s="72">
        <f t="shared" ref="I3:I7" si="1">sum(C3+1.2*D3+1.5*E3+2*F3+2*G3)-H3</f>
        <v>36.4</v>
      </c>
    </row>
    <row r="4">
      <c r="A4" s="76" t="s">
        <v>215</v>
      </c>
      <c r="B4" s="76" t="s">
        <v>83</v>
      </c>
      <c r="C4" s="60">
        <v>6.0</v>
      </c>
      <c r="D4" s="60">
        <v>1.0</v>
      </c>
      <c r="E4" s="60">
        <v>5.0</v>
      </c>
      <c r="F4" s="60">
        <v>1.0</v>
      </c>
      <c r="G4" s="60">
        <v>0.0</v>
      </c>
      <c r="H4" s="71">
        <v>0.0</v>
      </c>
      <c r="I4" s="72">
        <f t="shared" si="1"/>
        <v>16.7</v>
      </c>
    </row>
    <row r="5">
      <c r="A5" s="76" t="s">
        <v>216</v>
      </c>
      <c r="B5" s="70" t="s">
        <v>98</v>
      </c>
      <c r="C5" s="60">
        <v>19.0</v>
      </c>
      <c r="D5" s="60">
        <v>6.0</v>
      </c>
      <c r="E5" s="60">
        <v>1.0</v>
      </c>
      <c r="F5" s="60">
        <v>1.0</v>
      </c>
      <c r="G5" s="60">
        <v>1.0</v>
      </c>
      <c r="H5" s="71">
        <v>6.0</v>
      </c>
      <c r="I5" s="72">
        <f t="shared" si="1"/>
        <v>25.7</v>
      </c>
    </row>
    <row r="6">
      <c r="A6" s="76" t="s">
        <v>216</v>
      </c>
      <c r="B6" s="76" t="s">
        <v>54</v>
      </c>
      <c r="C6" s="60">
        <v>32.0</v>
      </c>
      <c r="D6" s="60">
        <v>7.0</v>
      </c>
      <c r="E6" s="60">
        <v>8.0</v>
      </c>
      <c r="F6" s="60">
        <v>2.0</v>
      </c>
      <c r="G6" s="60">
        <v>0.0</v>
      </c>
      <c r="H6" s="71">
        <v>1.0</v>
      </c>
      <c r="I6" s="72">
        <f t="shared" si="1"/>
        <v>55.4</v>
      </c>
    </row>
    <row r="7">
      <c r="A7" s="76" t="s">
        <v>216</v>
      </c>
      <c r="B7" s="36" t="s">
        <v>133</v>
      </c>
      <c r="C7" s="77">
        <v>11.0</v>
      </c>
      <c r="D7" s="77">
        <v>6.0</v>
      </c>
      <c r="E7" s="77">
        <v>0.0</v>
      </c>
      <c r="F7" s="77">
        <v>0.0</v>
      </c>
      <c r="G7" s="77">
        <v>0.0</v>
      </c>
      <c r="H7" s="78">
        <v>0.0</v>
      </c>
      <c r="I7" s="72">
        <f t="shared" si="1"/>
        <v>18.2</v>
      </c>
    </row>
    <row r="8">
      <c r="A8" s="96"/>
      <c r="B8" s="102" t="s">
        <v>217</v>
      </c>
      <c r="C8" s="103">
        <f>SUM(C3:C7)</f>
        <v>85</v>
      </c>
      <c r="D8" s="103">
        <f>SUM(D3:D7)*1.2</f>
        <v>32.4</v>
      </c>
      <c r="E8" s="103">
        <f>SUM(E3:E7)*1.5</f>
        <v>33</v>
      </c>
      <c r="F8" s="103">
        <f t="shared" ref="F8:G8" si="2">SUM(F3:F7)*2</f>
        <v>10</v>
      </c>
      <c r="G8" s="103">
        <f t="shared" si="2"/>
        <v>4</v>
      </c>
      <c r="H8" s="104">
        <f>SUM(H3:H7) *-1</f>
        <v>-12</v>
      </c>
      <c r="I8" s="105">
        <f>SUM(C8:H8)</f>
        <v>152.4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169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92</v>
      </c>
      <c r="C12" s="60">
        <v>14.0</v>
      </c>
      <c r="D12" s="60">
        <v>7.0</v>
      </c>
      <c r="E12" s="60">
        <v>10.0</v>
      </c>
      <c r="F12" s="60">
        <v>0.0</v>
      </c>
      <c r="G12" s="60">
        <v>1.0</v>
      </c>
      <c r="H12" s="71">
        <v>1.0</v>
      </c>
      <c r="I12" s="73">
        <f t="shared" ref="I12:I16" si="3">sum(C12+1.2*D12+1.5*E12+2*F12+2*G12)-H12</f>
        <v>38.4</v>
      </c>
    </row>
    <row r="13">
      <c r="A13" s="76" t="s">
        <v>215</v>
      </c>
      <c r="B13" s="76" t="s">
        <v>96</v>
      </c>
      <c r="C13" s="60">
        <v>20.0</v>
      </c>
      <c r="D13" s="60">
        <v>7.0</v>
      </c>
      <c r="E13" s="60">
        <v>4.0</v>
      </c>
      <c r="F13" s="60">
        <v>0.0</v>
      </c>
      <c r="G13" s="60">
        <v>1.0</v>
      </c>
      <c r="H13" s="71">
        <v>4.0</v>
      </c>
      <c r="I13" s="73">
        <f t="shared" si="3"/>
        <v>32.4</v>
      </c>
    </row>
    <row r="14">
      <c r="A14" s="76" t="s">
        <v>216</v>
      </c>
      <c r="B14" s="76" t="s">
        <v>125</v>
      </c>
      <c r="C14" s="60">
        <v>37.0</v>
      </c>
      <c r="D14" s="60">
        <v>12.0</v>
      </c>
      <c r="E14" s="60">
        <v>6.0</v>
      </c>
      <c r="F14" s="60">
        <v>1.0</v>
      </c>
      <c r="G14" s="60">
        <v>0.0</v>
      </c>
      <c r="H14" s="71">
        <v>5.0</v>
      </c>
      <c r="I14" s="73">
        <f t="shared" si="3"/>
        <v>57.4</v>
      </c>
    </row>
    <row r="15">
      <c r="A15" s="76" t="s">
        <v>216</v>
      </c>
      <c r="B15" s="76" t="s">
        <v>45</v>
      </c>
      <c r="C15" s="60">
        <v>7.0</v>
      </c>
      <c r="D15" s="60">
        <v>6.0</v>
      </c>
      <c r="E15" s="60">
        <v>1.0</v>
      </c>
      <c r="F15" s="60">
        <v>1.0</v>
      </c>
      <c r="G15" s="60">
        <v>0.0</v>
      </c>
      <c r="H15" s="71">
        <v>2.0</v>
      </c>
      <c r="I15" s="73">
        <f t="shared" si="3"/>
        <v>15.7</v>
      </c>
    </row>
    <row r="16">
      <c r="A16" s="76" t="s">
        <v>216</v>
      </c>
      <c r="B16" s="70" t="s">
        <v>104</v>
      </c>
      <c r="C16" s="77">
        <v>10.0</v>
      </c>
      <c r="D16" s="77">
        <v>8.0</v>
      </c>
      <c r="E16" s="77">
        <v>3.0</v>
      </c>
      <c r="F16" s="77">
        <v>1.0</v>
      </c>
      <c r="G16" s="77">
        <v>1.0</v>
      </c>
      <c r="H16" s="78">
        <v>3.0</v>
      </c>
      <c r="I16" s="73">
        <f t="shared" si="3"/>
        <v>25.1</v>
      </c>
    </row>
    <row r="17">
      <c r="A17" s="96"/>
      <c r="B17" s="102" t="s">
        <v>217</v>
      </c>
      <c r="C17" s="103">
        <f>SUM(C12:C16)</f>
        <v>88</v>
      </c>
      <c r="D17" s="103">
        <f>SUM(D12:D16)*1.2</f>
        <v>48</v>
      </c>
      <c r="E17" s="103">
        <f>SUM(E12:E16)*1.5</f>
        <v>36</v>
      </c>
      <c r="F17" s="103">
        <f t="shared" ref="F17:G17" si="4">SUM(F12:F16)*2</f>
        <v>6</v>
      </c>
      <c r="G17" s="103">
        <f t="shared" si="4"/>
        <v>6</v>
      </c>
      <c r="H17" s="104">
        <f>SUM(H12:H16) *-1</f>
        <v>-15</v>
      </c>
      <c r="I17" s="105">
        <f>SUM(C17:H17)</f>
        <v>169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151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93</v>
      </c>
      <c r="C21" s="60">
        <v>16.0</v>
      </c>
      <c r="D21" s="60">
        <v>3.0</v>
      </c>
      <c r="E21" s="60">
        <v>5.0</v>
      </c>
      <c r="F21" s="60">
        <v>2.0</v>
      </c>
      <c r="G21" s="60">
        <v>1.0</v>
      </c>
      <c r="H21" s="71">
        <v>0.0</v>
      </c>
      <c r="I21" s="73">
        <f t="shared" ref="I21:I25" si="5">sum(C21+1.2*D21+1.5*E21+2*F21+2*G21)-H21</f>
        <v>33.1</v>
      </c>
    </row>
    <row r="22">
      <c r="A22" s="76" t="s">
        <v>215</v>
      </c>
      <c r="B22" s="36" t="s">
        <v>258</v>
      </c>
      <c r="C22" s="60">
        <v>3.0</v>
      </c>
      <c r="D22" s="60">
        <v>1.0</v>
      </c>
      <c r="E22" s="60">
        <v>0.0</v>
      </c>
      <c r="F22" s="60">
        <v>2.0</v>
      </c>
      <c r="G22" s="60">
        <v>0.0</v>
      </c>
      <c r="H22" s="71">
        <v>3.0</v>
      </c>
      <c r="I22" s="73">
        <f t="shared" si="5"/>
        <v>5.2</v>
      </c>
    </row>
    <row r="23">
      <c r="A23" s="76" t="s">
        <v>216</v>
      </c>
      <c r="B23" s="76" t="s">
        <v>51</v>
      </c>
      <c r="C23" s="60">
        <v>29.0</v>
      </c>
      <c r="D23" s="60">
        <v>6.0</v>
      </c>
      <c r="E23" s="60">
        <v>1.0</v>
      </c>
      <c r="F23" s="60">
        <v>2.0</v>
      </c>
      <c r="G23" s="60">
        <v>0.0</v>
      </c>
      <c r="H23" s="71">
        <v>4.0</v>
      </c>
      <c r="I23" s="73">
        <f t="shared" si="5"/>
        <v>37.7</v>
      </c>
    </row>
    <row r="24">
      <c r="A24" s="76" t="s">
        <v>216</v>
      </c>
      <c r="B24" s="76" t="s">
        <v>111</v>
      </c>
      <c r="C24" s="60">
        <v>28.0</v>
      </c>
      <c r="D24" s="60">
        <v>5.0</v>
      </c>
      <c r="E24" s="60">
        <v>2.0</v>
      </c>
      <c r="F24" s="60">
        <v>2.0</v>
      </c>
      <c r="G24" s="60">
        <v>0.0</v>
      </c>
      <c r="H24" s="71">
        <v>0.0</v>
      </c>
      <c r="I24" s="73">
        <f t="shared" si="5"/>
        <v>41</v>
      </c>
    </row>
    <row r="25">
      <c r="A25" s="76" t="s">
        <v>216</v>
      </c>
      <c r="B25" s="76" t="s">
        <v>88</v>
      </c>
      <c r="C25" s="60">
        <v>22.0</v>
      </c>
      <c r="D25" s="60">
        <v>5.0</v>
      </c>
      <c r="E25" s="60">
        <v>4.0</v>
      </c>
      <c r="F25" s="60">
        <v>1.0</v>
      </c>
      <c r="G25" s="60">
        <v>0.0</v>
      </c>
      <c r="H25" s="71">
        <v>2.0</v>
      </c>
      <c r="I25" s="73">
        <f t="shared" si="5"/>
        <v>34</v>
      </c>
    </row>
    <row r="26">
      <c r="A26" s="96"/>
      <c r="B26" s="108" t="s">
        <v>217</v>
      </c>
      <c r="C26" s="109">
        <f>SUM(C21:C25)</f>
        <v>98</v>
      </c>
      <c r="D26" s="109">
        <f>SUM(D21:D25)*1.2</f>
        <v>24</v>
      </c>
      <c r="E26" s="109">
        <f>SUM(E21:E25)*1.5</f>
        <v>18</v>
      </c>
      <c r="F26" s="109">
        <f t="shared" ref="F26:G26" si="6">SUM(F21:F25)*2</f>
        <v>18</v>
      </c>
      <c r="G26" s="109">
        <f t="shared" si="6"/>
        <v>2</v>
      </c>
      <c r="H26" s="109">
        <f>SUM(H21:H25) *-1</f>
        <v>-9</v>
      </c>
      <c r="I26" s="110">
        <f>SUM(C26:H26)</f>
        <v>151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203.1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78</v>
      </c>
      <c r="C30" s="60">
        <v>29.0</v>
      </c>
      <c r="D30" s="60">
        <v>8.0</v>
      </c>
      <c r="E30" s="60">
        <v>8.0</v>
      </c>
      <c r="F30" s="60">
        <v>2.0</v>
      </c>
      <c r="G30" s="60">
        <v>1.0</v>
      </c>
      <c r="H30" s="71">
        <v>2.0</v>
      </c>
      <c r="I30" s="73">
        <f t="shared" ref="I30:I34" si="7">sum(C30+1.2*D30+1.5*E30+2*F30+2*G30)-H30</f>
        <v>54.6</v>
      </c>
    </row>
    <row r="31">
      <c r="A31" s="76" t="s">
        <v>215</v>
      </c>
      <c r="B31" s="36" t="s">
        <v>112</v>
      </c>
      <c r="C31" s="60">
        <v>7.0</v>
      </c>
      <c r="D31" s="60">
        <v>3.0</v>
      </c>
      <c r="E31" s="60">
        <v>5.0</v>
      </c>
      <c r="F31" s="60">
        <v>2.0</v>
      </c>
      <c r="G31" s="60">
        <v>2.0</v>
      </c>
      <c r="H31" s="71">
        <v>1.0</v>
      </c>
      <c r="I31" s="73">
        <f t="shared" si="7"/>
        <v>25.1</v>
      </c>
    </row>
    <row r="32">
      <c r="A32" s="76" t="s">
        <v>216</v>
      </c>
      <c r="B32" s="36" t="s">
        <v>71</v>
      </c>
      <c r="C32" s="60">
        <v>38.0</v>
      </c>
      <c r="D32" s="60">
        <v>10.0</v>
      </c>
      <c r="E32" s="60">
        <v>4.0</v>
      </c>
      <c r="F32" s="60">
        <v>2.0</v>
      </c>
      <c r="G32" s="60">
        <v>2.0</v>
      </c>
      <c r="H32" s="71">
        <v>1.0</v>
      </c>
      <c r="I32" s="73">
        <f t="shared" si="7"/>
        <v>63</v>
      </c>
    </row>
    <row r="33">
      <c r="A33" s="76" t="s">
        <v>216</v>
      </c>
      <c r="B33" s="76" t="s">
        <v>114</v>
      </c>
      <c r="C33" s="60">
        <v>6.0</v>
      </c>
      <c r="D33" s="60">
        <v>3.0</v>
      </c>
      <c r="E33" s="60">
        <v>2.0</v>
      </c>
      <c r="F33" s="60">
        <v>0.0</v>
      </c>
      <c r="G33" s="60">
        <v>1.0</v>
      </c>
      <c r="H33" s="71">
        <v>4.0</v>
      </c>
      <c r="I33" s="73">
        <f t="shared" si="7"/>
        <v>10.6</v>
      </c>
    </row>
    <row r="34">
      <c r="A34" s="76" t="s">
        <v>216</v>
      </c>
      <c r="B34" s="70" t="s">
        <v>259</v>
      </c>
      <c r="C34" s="68">
        <v>36.0</v>
      </c>
      <c r="D34" s="68">
        <v>9.0</v>
      </c>
      <c r="E34" s="68">
        <v>4.0</v>
      </c>
      <c r="F34" s="68">
        <v>1.0</v>
      </c>
      <c r="G34" s="68">
        <v>1.0</v>
      </c>
      <c r="H34" s="79">
        <v>7.0</v>
      </c>
      <c r="I34" s="73">
        <f t="shared" si="7"/>
        <v>49.8</v>
      </c>
    </row>
    <row r="35">
      <c r="A35" s="96"/>
      <c r="B35" s="108" t="s">
        <v>217</v>
      </c>
      <c r="C35" s="109">
        <f>SUM(C30:C34)</f>
        <v>116</v>
      </c>
      <c r="D35" s="109">
        <f>SUM(D30:D34)*1.2</f>
        <v>39.6</v>
      </c>
      <c r="E35" s="109">
        <f>SUM(E30:E34)*1.5</f>
        <v>34.5</v>
      </c>
      <c r="F35" s="109">
        <f t="shared" ref="F35:G35" si="8">SUM(F30:F34)*2</f>
        <v>14</v>
      </c>
      <c r="G35" s="109">
        <f t="shared" si="8"/>
        <v>14</v>
      </c>
      <c r="H35" s="109">
        <f>SUM(H30:H34) *-1</f>
        <v>-15</v>
      </c>
      <c r="I35" s="110">
        <f>SUM(C35:H35)</f>
        <v>203.1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>
        <f>I8</f>
        <v>171.5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137</v>
      </c>
      <c r="C3" s="60">
        <v>12.0</v>
      </c>
      <c r="D3" s="60">
        <v>2.0</v>
      </c>
      <c r="E3" s="60">
        <v>1.0</v>
      </c>
      <c r="F3" s="60">
        <v>0.0</v>
      </c>
      <c r="G3" s="60">
        <v>0.0</v>
      </c>
      <c r="H3" s="71">
        <v>0.0</v>
      </c>
      <c r="I3" s="72">
        <f t="shared" ref="I3:I7" si="1">sum(C3+1.2*D3+1.5*E3+2*F3+2*G3)-H3</f>
        <v>15.9</v>
      </c>
    </row>
    <row r="4">
      <c r="A4" s="76" t="s">
        <v>215</v>
      </c>
      <c r="B4" s="76" t="s">
        <v>115</v>
      </c>
      <c r="C4" s="60">
        <v>15.0</v>
      </c>
      <c r="D4" s="60">
        <v>1.0</v>
      </c>
      <c r="E4" s="60">
        <v>5.0</v>
      </c>
      <c r="F4" s="60">
        <v>0.0</v>
      </c>
      <c r="G4" s="60">
        <v>0.0</v>
      </c>
      <c r="H4" s="71">
        <v>0.0</v>
      </c>
      <c r="I4" s="72">
        <f t="shared" si="1"/>
        <v>23.7</v>
      </c>
    </row>
    <row r="5">
      <c r="A5" s="76" t="s">
        <v>216</v>
      </c>
      <c r="B5" s="70" t="s">
        <v>66</v>
      </c>
      <c r="C5" s="60">
        <v>23.0</v>
      </c>
      <c r="D5" s="60">
        <v>13.0</v>
      </c>
      <c r="E5" s="60">
        <v>13.0</v>
      </c>
      <c r="F5" s="60">
        <v>1.0</v>
      </c>
      <c r="G5" s="60">
        <v>0.0</v>
      </c>
      <c r="H5" s="71">
        <v>2.0</v>
      </c>
      <c r="I5" s="72">
        <f t="shared" si="1"/>
        <v>58.1</v>
      </c>
    </row>
    <row r="6">
      <c r="A6" s="76" t="s">
        <v>216</v>
      </c>
      <c r="B6" s="76" t="s">
        <v>108</v>
      </c>
      <c r="C6" s="60">
        <v>16.0</v>
      </c>
      <c r="D6" s="60">
        <v>8.0</v>
      </c>
      <c r="E6" s="60">
        <v>3.0</v>
      </c>
      <c r="F6" s="60">
        <v>0.0</v>
      </c>
      <c r="G6" s="60">
        <v>0.0</v>
      </c>
      <c r="H6" s="71">
        <v>1.0</v>
      </c>
      <c r="I6" s="72">
        <f t="shared" si="1"/>
        <v>29.1</v>
      </c>
    </row>
    <row r="7">
      <c r="A7" s="76" t="s">
        <v>216</v>
      </c>
      <c r="B7" s="36" t="s">
        <v>80</v>
      </c>
      <c r="C7" s="77">
        <v>26.0</v>
      </c>
      <c r="D7" s="77">
        <v>6.0</v>
      </c>
      <c r="E7" s="77">
        <v>5.0</v>
      </c>
      <c r="F7" s="77">
        <v>2.0</v>
      </c>
      <c r="G7" s="77">
        <v>1.0</v>
      </c>
      <c r="H7" s="78">
        <v>2.0</v>
      </c>
      <c r="I7" s="72">
        <f t="shared" si="1"/>
        <v>44.7</v>
      </c>
    </row>
    <row r="8">
      <c r="A8" s="96"/>
      <c r="B8" s="102" t="s">
        <v>217</v>
      </c>
      <c r="C8" s="103">
        <f>SUM(C3:C7)</f>
        <v>92</v>
      </c>
      <c r="D8" s="103">
        <f>SUM(D3:D7)*1.2</f>
        <v>36</v>
      </c>
      <c r="E8" s="103">
        <f>SUM(E3:E7)*1.5</f>
        <v>40.5</v>
      </c>
      <c r="F8" s="103">
        <f t="shared" ref="F8:G8" si="2">SUM(F3:F7)*2</f>
        <v>6</v>
      </c>
      <c r="G8" s="103">
        <f t="shared" si="2"/>
        <v>2</v>
      </c>
      <c r="H8" s="104">
        <f>SUM(H3:H7) *-1</f>
        <v>-5</v>
      </c>
      <c r="I8" s="105">
        <f>SUM(C8:H8)</f>
        <v>171.5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193.3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260</v>
      </c>
      <c r="C12" s="60">
        <v>24.0</v>
      </c>
      <c r="D12" s="60">
        <v>7.0</v>
      </c>
      <c r="E12" s="60">
        <v>11.0</v>
      </c>
      <c r="F12" s="60">
        <v>4.0</v>
      </c>
      <c r="G12" s="60">
        <v>2.0</v>
      </c>
      <c r="H12" s="71">
        <v>6.0</v>
      </c>
      <c r="I12" s="73">
        <f t="shared" ref="I12:I16" si="3">sum(C12+1.2*D12+1.5*E12+2*F12+2*G12)-H12</f>
        <v>54.9</v>
      </c>
    </row>
    <row r="13">
      <c r="A13" s="76" t="s">
        <v>215</v>
      </c>
      <c r="B13" s="76" t="s">
        <v>72</v>
      </c>
      <c r="C13" s="60">
        <v>23.0</v>
      </c>
      <c r="D13" s="60">
        <v>0.0</v>
      </c>
      <c r="E13" s="60">
        <v>4.0</v>
      </c>
      <c r="F13" s="60">
        <v>1.0</v>
      </c>
      <c r="G13" s="60">
        <v>0.0</v>
      </c>
      <c r="H13" s="71">
        <v>3.0</v>
      </c>
      <c r="I13" s="73">
        <f t="shared" si="3"/>
        <v>28</v>
      </c>
    </row>
    <row r="14">
      <c r="A14" s="76" t="s">
        <v>216</v>
      </c>
      <c r="B14" s="76" t="s">
        <v>89</v>
      </c>
      <c r="C14" s="60">
        <v>6.0</v>
      </c>
      <c r="D14" s="60">
        <v>11.0</v>
      </c>
      <c r="E14" s="60">
        <v>9.0</v>
      </c>
      <c r="F14" s="60">
        <v>2.0</v>
      </c>
      <c r="G14" s="60">
        <v>1.0</v>
      </c>
      <c r="H14" s="71">
        <v>1.0</v>
      </c>
      <c r="I14" s="73">
        <f t="shared" si="3"/>
        <v>37.7</v>
      </c>
    </row>
    <row r="15">
      <c r="A15" s="76" t="s">
        <v>216</v>
      </c>
      <c r="B15" s="76" t="s">
        <v>70</v>
      </c>
      <c r="C15" s="60">
        <v>31.0</v>
      </c>
      <c r="D15" s="60">
        <v>8.0</v>
      </c>
      <c r="E15" s="60">
        <v>1.0</v>
      </c>
      <c r="F15" s="60">
        <v>1.0</v>
      </c>
      <c r="G15" s="60">
        <v>2.0</v>
      </c>
      <c r="H15" s="71">
        <v>2.0</v>
      </c>
      <c r="I15" s="73">
        <f t="shared" si="3"/>
        <v>46.1</v>
      </c>
    </row>
    <row r="16">
      <c r="A16" s="76" t="s">
        <v>216</v>
      </c>
      <c r="B16" s="70" t="s">
        <v>43</v>
      </c>
      <c r="C16" s="77">
        <v>10.0</v>
      </c>
      <c r="D16" s="77">
        <v>8.0</v>
      </c>
      <c r="E16" s="77">
        <v>4.0</v>
      </c>
      <c r="F16" s="77">
        <v>2.0</v>
      </c>
      <c r="G16" s="77">
        <v>1.0</v>
      </c>
      <c r="H16" s="78">
        <v>5.0</v>
      </c>
      <c r="I16" s="73">
        <f t="shared" si="3"/>
        <v>26.6</v>
      </c>
    </row>
    <row r="17">
      <c r="A17" s="96"/>
      <c r="B17" s="102" t="s">
        <v>217</v>
      </c>
      <c r="C17" s="103">
        <f>SUM(C12:C16)</f>
        <v>94</v>
      </c>
      <c r="D17" s="103">
        <f>SUM(D12:D16)*1.2</f>
        <v>40.8</v>
      </c>
      <c r="E17" s="103">
        <f>SUM(E12:E16)*1.5</f>
        <v>43.5</v>
      </c>
      <c r="F17" s="103">
        <f t="shared" ref="F17:G17" si="4">SUM(F12:F16)*2</f>
        <v>20</v>
      </c>
      <c r="G17" s="103">
        <f t="shared" si="4"/>
        <v>12</v>
      </c>
      <c r="H17" s="104">
        <f>SUM(H12:H16) *-1</f>
        <v>-17</v>
      </c>
      <c r="I17" s="105">
        <f>SUM(C17:H17)</f>
        <v>193.3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>
        <f>I26</f>
        <v>168.7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73</v>
      </c>
      <c r="C21" s="60">
        <v>31.0</v>
      </c>
      <c r="D21" s="60">
        <v>4.0</v>
      </c>
      <c r="E21" s="60">
        <v>8.0</v>
      </c>
      <c r="F21" s="60">
        <v>1.0</v>
      </c>
      <c r="G21" s="60">
        <v>1.0</v>
      </c>
      <c r="H21" s="71">
        <v>3.0</v>
      </c>
      <c r="I21" s="73">
        <f t="shared" ref="I21:I25" si="5">sum(C21+1.2*D21+1.5*E21+2*F21+2*G21)-H21</f>
        <v>48.8</v>
      </c>
    </row>
    <row r="22">
      <c r="A22" s="76" t="s">
        <v>215</v>
      </c>
      <c r="B22" s="36" t="s">
        <v>90</v>
      </c>
      <c r="C22" s="60">
        <v>20.0</v>
      </c>
      <c r="D22" s="60">
        <v>6.0</v>
      </c>
      <c r="E22" s="60">
        <v>9.0</v>
      </c>
      <c r="F22" s="60">
        <v>0.0</v>
      </c>
      <c r="G22" s="60">
        <v>0.0</v>
      </c>
      <c r="H22" s="71">
        <v>1.0</v>
      </c>
      <c r="I22" s="73">
        <f t="shared" si="5"/>
        <v>39.7</v>
      </c>
    </row>
    <row r="23">
      <c r="A23" s="76" t="s">
        <v>216</v>
      </c>
      <c r="B23" s="76" t="s">
        <v>128</v>
      </c>
      <c r="C23" s="60">
        <v>5.0</v>
      </c>
      <c r="D23" s="60">
        <v>6.0</v>
      </c>
      <c r="E23" s="60">
        <v>0.0</v>
      </c>
      <c r="F23" s="60">
        <v>1.0</v>
      </c>
      <c r="G23" s="60">
        <v>0.0</v>
      </c>
      <c r="H23" s="71">
        <v>1.0</v>
      </c>
      <c r="I23" s="73">
        <f t="shared" si="5"/>
        <v>13.2</v>
      </c>
    </row>
    <row r="24">
      <c r="A24" s="76" t="s">
        <v>216</v>
      </c>
      <c r="B24" s="76" t="s">
        <v>106</v>
      </c>
      <c r="C24" s="60">
        <v>22.0</v>
      </c>
      <c r="D24" s="60">
        <v>7.0</v>
      </c>
      <c r="E24" s="60">
        <v>2.0</v>
      </c>
      <c r="F24" s="60">
        <v>1.0</v>
      </c>
      <c r="G24" s="60">
        <v>1.0</v>
      </c>
      <c r="H24" s="71">
        <v>3.0</v>
      </c>
      <c r="I24" s="73">
        <f t="shared" si="5"/>
        <v>34.4</v>
      </c>
    </row>
    <row r="25">
      <c r="A25" s="76" t="s">
        <v>216</v>
      </c>
      <c r="B25" s="76" t="s">
        <v>101</v>
      </c>
      <c r="C25" s="60">
        <v>24.0</v>
      </c>
      <c r="D25" s="60">
        <v>8.0</v>
      </c>
      <c r="E25" s="60">
        <v>0.0</v>
      </c>
      <c r="F25" s="60">
        <v>0.0</v>
      </c>
      <c r="G25" s="60">
        <v>0.0</v>
      </c>
      <c r="H25" s="71">
        <v>1.0</v>
      </c>
      <c r="I25" s="73">
        <f t="shared" si="5"/>
        <v>32.6</v>
      </c>
    </row>
    <row r="26">
      <c r="A26" s="96"/>
      <c r="B26" s="108" t="s">
        <v>217</v>
      </c>
      <c r="C26" s="109">
        <f>SUM(C21:C25)</f>
        <v>102</v>
      </c>
      <c r="D26" s="109">
        <f>SUM(D21:D25)*1.2</f>
        <v>37.2</v>
      </c>
      <c r="E26" s="109">
        <f>SUM(E21:E25)*1.5</f>
        <v>28.5</v>
      </c>
      <c r="F26" s="109">
        <f t="shared" ref="F26:G26" si="6">SUM(F21:F25)*2</f>
        <v>6</v>
      </c>
      <c r="G26" s="109">
        <f t="shared" si="6"/>
        <v>4</v>
      </c>
      <c r="H26" s="109">
        <f>SUM(H21:H25) *-1</f>
        <v>-9</v>
      </c>
      <c r="I26" s="110">
        <f>SUM(C26:H26)</f>
        <v>168.7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186.7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100</v>
      </c>
      <c r="C30" s="60">
        <v>20.0</v>
      </c>
      <c r="D30" s="60">
        <v>7.0</v>
      </c>
      <c r="E30" s="60">
        <v>3.0</v>
      </c>
      <c r="F30" s="60">
        <v>3.0</v>
      </c>
      <c r="G30" s="60">
        <v>2.0</v>
      </c>
      <c r="H30" s="71">
        <v>3.0</v>
      </c>
      <c r="I30" s="73">
        <f t="shared" ref="I30:I34" si="7">sum(C30+1.2*D30+1.5*E30+2*F30+2*G30)-H30</f>
        <v>39.9</v>
      </c>
    </row>
    <row r="31">
      <c r="A31" s="76" t="s">
        <v>215</v>
      </c>
      <c r="B31" s="36" t="s">
        <v>84</v>
      </c>
      <c r="C31" s="60">
        <v>30.0</v>
      </c>
      <c r="D31" s="60">
        <v>7.0</v>
      </c>
      <c r="E31" s="60">
        <v>9.0</v>
      </c>
      <c r="F31" s="60">
        <v>0.0</v>
      </c>
      <c r="G31" s="60">
        <v>1.0</v>
      </c>
      <c r="H31" s="71">
        <v>1.0</v>
      </c>
      <c r="I31" s="73">
        <f t="shared" si="7"/>
        <v>52.9</v>
      </c>
    </row>
    <row r="32">
      <c r="A32" s="76" t="s">
        <v>216</v>
      </c>
      <c r="B32" s="36" t="s">
        <v>58</v>
      </c>
      <c r="C32" s="60">
        <v>15.0</v>
      </c>
      <c r="D32" s="60">
        <v>7.0</v>
      </c>
      <c r="E32" s="60">
        <v>0.0</v>
      </c>
      <c r="F32" s="60">
        <v>0.0</v>
      </c>
      <c r="G32" s="60">
        <v>0.0</v>
      </c>
      <c r="H32" s="71">
        <v>2.0</v>
      </c>
      <c r="I32" s="73">
        <f t="shared" si="7"/>
        <v>21.4</v>
      </c>
    </row>
    <row r="33">
      <c r="A33" s="76" t="s">
        <v>216</v>
      </c>
      <c r="B33" s="76" t="s">
        <v>99</v>
      </c>
      <c r="C33" s="60">
        <v>19.0</v>
      </c>
      <c r="D33" s="60">
        <v>9.0</v>
      </c>
      <c r="E33" s="60">
        <v>1.0</v>
      </c>
      <c r="F33" s="60">
        <v>0.0</v>
      </c>
      <c r="G33" s="60">
        <v>1.0</v>
      </c>
      <c r="H33" s="71">
        <v>2.0</v>
      </c>
      <c r="I33" s="73">
        <f t="shared" si="7"/>
        <v>31.3</v>
      </c>
    </row>
    <row r="34">
      <c r="A34" s="76" t="s">
        <v>216</v>
      </c>
      <c r="B34" s="70" t="s">
        <v>50</v>
      </c>
      <c r="C34" s="68">
        <v>21.0</v>
      </c>
      <c r="D34" s="68">
        <v>11.0</v>
      </c>
      <c r="E34" s="68">
        <v>6.0</v>
      </c>
      <c r="F34" s="68">
        <v>0.0</v>
      </c>
      <c r="G34" s="68">
        <v>0.0</v>
      </c>
      <c r="H34" s="79">
        <v>2.0</v>
      </c>
      <c r="I34" s="73">
        <f t="shared" si="7"/>
        <v>41.2</v>
      </c>
    </row>
    <row r="35">
      <c r="A35" s="96"/>
      <c r="B35" s="108" t="s">
        <v>217</v>
      </c>
      <c r="C35" s="109">
        <f>SUM(C30:C34)</f>
        <v>105</v>
      </c>
      <c r="D35" s="109">
        <f>SUM(D30:D34)*1.2</f>
        <v>49.2</v>
      </c>
      <c r="E35" s="109">
        <f>SUM(E30:E34)*1.5</f>
        <v>28.5</v>
      </c>
      <c r="F35" s="109">
        <f t="shared" ref="F35:G35" si="8">SUM(F30:F34)*2</f>
        <v>6</v>
      </c>
      <c r="G35" s="109">
        <f t="shared" si="8"/>
        <v>8</v>
      </c>
      <c r="H35" s="109">
        <f>SUM(H30:H34) *-1</f>
        <v>-10</v>
      </c>
      <c r="I35" s="110">
        <f>SUM(C35:H35)</f>
        <v>186.7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184.4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87</v>
      </c>
      <c r="C3" s="60">
        <v>30.0</v>
      </c>
      <c r="D3" s="60">
        <v>6.0</v>
      </c>
      <c r="E3" s="60">
        <v>6.0</v>
      </c>
      <c r="F3" s="60">
        <v>1.0</v>
      </c>
      <c r="G3" s="60">
        <v>0.0</v>
      </c>
      <c r="H3" s="71">
        <v>1.0</v>
      </c>
      <c r="I3" s="72">
        <f t="shared" ref="I3:I7" si="1">sum(C3+1.2*D3+1.5*E3+2*F3+2*G3)-H3</f>
        <v>47.2</v>
      </c>
    </row>
    <row r="4">
      <c r="A4" s="76" t="s">
        <v>215</v>
      </c>
      <c r="B4" s="76" t="s">
        <v>103</v>
      </c>
      <c r="C4" s="60">
        <v>7.0</v>
      </c>
      <c r="D4" s="60">
        <v>6.0</v>
      </c>
      <c r="E4" s="60">
        <v>2.0</v>
      </c>
      <c r="F4" s="60">
        <v>3.0</v>
      </c>
      <c r="G4" s="60">
        <v>1.0</v>
      </c>
      <c r="H4" s="71">
        <v>0.0</v>
      </c>
      <c r="I4" s="72">
        <f t="shared" si="1"/>
        <v>25.2</v>
      </c>
    </row>
    <row r="5">
      <c r="A5" s="76" t="s">
        <v>216</v>
      </c>
      <c r="B5" s="70" t="s">
        <v>98</v>
      </c>
      <c r="C5" s="60">
        <v>36.0</v>
      </c>
      <c r="D5" s="60">
        <v>10.0</v>
      </c>
      <c r="E5" s="60">
        <v>5.0</v>
      </c>
      <c r="F5" s="60">
        <v>1.0</v>
      </c>
      <c r="G5" s="60">
        <v>0.0</v>
      </c>
      <c r="H5" s="71">
        <v>3.0</v>
      </c>
      <c r="I5" s="72">
        <f t="shared" si="1"/>
        <v>54.5</v>
      </c>
    </row>
    <row r="6">
      <c r="A6" s="76" t="s">
        <v>216</v>
      </c>
      <c r="B6" s="76" t="s">
        <v>54</v>
      </c>
      <c r="C6" s="60">
        <v>25.0</v>
      </c>
      <c r="D6" s="60">
        <v>4.0</v>
      </c>
      <c r="E6" s="60">
        <v>4.0</v>
      </c>
      <c r="F6" s="60">
        <v>2.0</v>
      </c>
      <c r="G6" s="60">
        <v>0.0</v>
      </c>
      <c r="H6" s="71">
        <v>2.0</v>
      </c>
      <c r="I6" s="72">
        <f t="shared" si="1"/>
        <v>37.8</v>
      </c>
    </row>
    <row r="7">
      <c r="A7" s="76" t="s">
        <v>216</v>
      </c>
      <c r="B7" s="36" t="s">
        <v>86</v>
      </c>
      <c r="C7" s="77">
        <v>10.0</v>
      </c>
      <c r="D7" s="77">
        <v>1.0</v>
      </c>
      <c r="E7" s="77">
        <v>3.0</v>
      </c>
      <c r="F7" s="77">
        <v>0.0</v>
      </c>
      <c r="G7" s="77">
        <v>3.0</v>
      </c>
      <c r="H7" s="78">
        <v>2.0</v>
      </c>
      <c r="I7" s="72">
        <f t="shared" si="1"/>
        <v>19.7</v>
      </c>
    </row>
    <row r="8">
      <c r="A8" s="96"/>
      <c r="B8" s="102" t="s">
        <v>217</v>
      </c>
      <c r="C8" s="103">
        <f>SUM(C3:C7)</f>
        <v>108</v>
      </c>
      <c r="D8" s="103">
        <f>SUM(D3:D7)*1.2</f>
        <v>32.4</v>
      </c>
      <c r="E8" s="103">
        <f>SUM(E3:E7)*1.5</f>
        <v>30</v>
      </c>
      <c r="F8" s="103">
        <f t="shared" ref="F8:G8" si="2">SUM(F3:F7)*2</f>
        <v>14</v>
      </c>
      <c r="G8" s="103">
        <f t="shared" si="2"/>
        <v>8</v>
      </c>
      <c r="H8" s="104">
        <f>SUM(H3:H7) *-1</f>
        <v>-8</v>
      </c>
      <c r="I8" s="105">
        <f>SUM(C8:H8)</f>
        <v>184.4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>
        <f>I17</f>
        <v>183.6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44</v>
      </c>
      <c r="C12" s="60">
        <v>21.0</v>
      </c>
      <c r="D12" s="60">
        <v>2.0</v>
      </c>
      <c r="E12" s="60">
        <v>9.0</v>
      </c>
      <c r="F12" s="60">
        <v>0.0</v>
      </c>
      <c r="G12" s="60">
        <v>0.0</v>
      </c>
      <c r="H12" s="71">
        <v>1.0</v>
      </c>
      <c r="I12" s="73">
        <f t="shared" ref="I12:I16" si="3">sum(C12+1.2*D12+1.5*E12+2*F12+2*G12)-H12</f>
        <v>35.9</v>
      </c>
    </row>
    <row r="13">
      <c r="A13" s="76" t="s">
        <v>215</v>
      </c>
      <c r="B13" s="76" t="s">
        <v>109</v>
      </c>
      <c r="C13" s="60">
        <v>38.0</v>
      </c>
      <c r="D13" s="60">
        <v>4.0</v>
      </c>
      <c r="E13" s="60">
        <v>6.0</v>
      </c>
      <c r="F13" s="60">
        <v>3.0</v>
      </c>
      <c r="G13" s="60">
        <v>0.0</v>
      </c>
      <c r="H13" s="71">
        <v>2.0</v>
      </c>
      <c r="I13" s="73">
        <f t="shared" si="3"/>
        <v>55.8</v>
      </c>
    </row>
    <row r="14">
      <c r="A14" s="76" t="s">
        <v>261</v>
      </c>
      <c r="B14" s="76" t="s">
        <v>117</v>
      </c>
      <c r="C14" s="60">
        <v>6.0</v>
      </c>
      <c r="D14" s="60">
        <v>3.0</v>
      </c>
      <c r="E14" s="60">
        <v>0.0</v>
      </c>
      <c r="F14" s="60">
        <v>1.0</v>
      </c>
      <c r="G14" s="60">
        <v>0.0</v>
      </c>
      <c r="H14" s="71">
        <v>1.0</v>
      </c>
      <c r="I14" s="73">
        <f t="shared" si="3"/>
        <v>10.6</v>
      </c>
    </row>
    <row r="15">
      <c r="A15" s="76" t="s">
        <v>216</v>
      </c>
      <c r="B15" s="76" t="s">
        <v>56</v>
      </c>
      <c r="C15" s="60">
        <v>11.0</v>
      </c>
      <c r="D15" s="60">
        <v>14.0</v>
      </c>
      <c r="E15" s="60">
        <v>9.0</v>
      </c>
      <c r="F15" s="60">
        <v>1.0</v>
      </c>
      <c r="G15" s="60">
        <v>0.0</v>
      </c>
      <c r="H15" s="71">
        <v>2.0</v>
      </c>
      <c r="I15" s="73">
        <f t="shared" si="3"/>
        <v>41.3</v>
      </c>
    </row>
    <row r="16">
      <c r="A16" s="76" t="s">
        <v>216</v>
      </c>
      <c r="B16" s="70" t="s">
        <v>45</v>
      </c>
      <c r="C16" s="77">
        <v>20.0</v>
      </c>
      <c r="D16" s="77">
        <v>10.0</v>
      </c>
      <c r="E16" s="77">
        <v>0.0</v>
      </c>
      <c r="F16" s="77">
        <v>2.0</v>
      </c>
      <c r="G16" s="77">
        <v>2.0</v>
      </c>
      <c r="H16" s="78">
        <v>0.0</v>
      </c>
      <c r="I16" s="73">
        <f t="shared" si="3"/>
        <v>40</v>
      </c>
    </row>
    <row r="17">
      <c r="A17" s="96"/>
      <c r="B17" s="102" t="s">
        <v>217</v>
      </c>
      <c r="C17" s="103">
        <f>SUM(C12:C16)</f>
        <v>96</v>
      </c>
      <c r="D17" s="103">
        <f>SUM(D12:D16)*1.2</f>
        <v>39.6</v>
      </c>
      <c r="E17" s="103">
        <f>SUM(E12:E16)*1.5</f>
        <v>36</v>
      </c>
      <c r="F17" s="103">
        <f t="shared" ref="F17:G17" si="4">SUM(F12:F16)*2</f>
        <v>14</v>
      </c>
      <c r="G17" s="103">
        <f t="shared" si="4"/>
        <v>4</v>
      </c>
      <c r="H17" s="104">
        <f>SUM(H12:H16) *-1</f>
        <v>-6</v>
      </c>
      <c r="I17" s="105">
        <f>SUM(C17:H17)</f>
        <v>183.6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>
        <f>I26</f>
        <v>162.2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36" t="s">
        <v>47</v>
      </c>
      <c r="C21" s="60">
        <v>33.0</v>
      </c>
      <c r="D21" s="60">
        <v>6.0</v>
      </c>
      <c r="E21" s="60">
        <v>5.0</v>
      </c>
      <c r="F21" s="60">
        <v>0.0</v>
      </c>
      <c r="G21" s="60">
        <v>0.0</v>
      </c>
      <c r="H21" s="71">
        <v>2.0</v>
      </c>
      <c r="I21" s="73">
        <f t="shared" ref="I21:I25" si="5">sum(C21+1.2*D21+1.5*E21+2*F21+2*G21)-H21</f>
        <v>45.7</v>
      </c>
    </row>
    <row r="22">
      <c r="A22" s="76" t="s">
        <v>215</v>
      </c>
      <c r="B22" s="36" t="s">
        <v>93</v>
      </c>
      <c r="C22" s="60">
        <v>17.0</v>
      </c>
      <c r="D22" s="60">
        <v>6.0</v>
      </c>
      <c r="E22" s="60">
        <v>5.0</v>
      </c>
      <c r="F22" s="60">
        <v>1.0</v>
      </c>
      <c r="G22" s="60">
        <v>0.0</v>
      </c>
      <c r="H22" s="71">
        <v>2.0</v>
      </c>
      <c r="I22" s="73">
        <f t="shared" si="5"/>
        <v>31.7</v>
      </c>
    </row>
    <row r="23">
      <c r="A23" s="76" t="s">
        <v>216</v>
      </c>
      <c r="B23" s="76" t="s">
        <v>51</v>
      </c>
      <c r="C23" s="60">
        <v>32.0</v>
      </c>
      <c r="D23" s="60">
        <v>9.0</v>
      </c>
      <c r="E23" s="60">
        <v>7.0</v>
      </c>
      <c r="F23" s="60">
        <v>0.0</v>
      </c>
      <c r="G23" s="60">
        <v>2.0</v>
      </c>
      <c r="H23" s="71">
        <v>0.0</v>
      </c>
      <c r="I23" s="73">
        <f t="shared" si="5"/>
        <v>57.3</v>
      </c>
    </row>
    <row r="24">
      <c r="A24" s="76" t="s">
        <v>216</v>
      </c>
      <c r="B24" s="76" t="s">
        <v>76</v>
      </c>
      <c r="C24" s="60">
        <v>3.0</v>
      </c>
      <c r="D24" s="60">
        <v>2.0</v>
      </c>
      <c r="E24" s="60">
        <v>0.0</v>
      </c>
      <c r="F24" s="60">
        <v>0.0</v>
      </c>
      <c r="G24" s="60">
        <v>0.0</v>
      </c>
      <c r="H24" s="71">
        <v>0.0</v>
      </c>
      <c r="I24" s="73">
        <f t="shared" si="5"/>
        <v>5.4</v>
      </c>
    </row>
    <row r="25">
      <c r="A25" s="76" t="s">
        <v>216</v>
      </c>
      <c r="B25" s="76" t="s">
        <v>105</v>
      </c>
      <c r="C25" s="60">
        <v>9.0</v>
      </c>
      <c r="D25" s="60">
        <v>8.0</v>
      </c>
      <c r="E25" s="60">
        <v>1.0</v>
      </c>
      <c r="F25" s="60">
        <v>1.0</v>
      </c>
      <c r="G25" s="60">
        <v>1.0</v>
      </c>
      <c r="H25" s="71">
        <v>2.0</v>
      </c>
      <c r="I25" s="73">
        <f t="shared" si="5"/>
        <v>22.1</v>
      </c>
    </row>
    <row r="26">
      <c r="A26" s="96"/>
      <c r="B26" s="108" t="s">
        <v>217</v>
      </c>
      <c r="C26" s="109">
        <f>SUM(C21:C25)</f>
        <v>94</v>
      </c>
      <c r="D26" s="109">
        <f>SUM(D21:D25)*1.2</f>
        <v>37.2</v>
      </c>
      <c r="E26" s="109">
        <f>SUM(E21:E25)*1.5</f>
        <v>27</v>
      </c>
      <c r="F26" s="109">
        <f t="shared" ref="F26:G26" si="6">SUM(F21:F25)*2</f>
        <v>4</v>
      </c>
      <c r="G26" s="109">
        <f t="shared" si="6"/>
        <v>6</v>
      </c>
      <c r="H26" s="109">
        <f>SUM(H21:H25) *-1</f>
        <v>-6</v>
      </c>
      <c r="I26" s="110">
        <f>SUM(C26:H26)</f>
        <v>162.2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117" t="s">
        <v>10</v>
      </c>
      <c r="B28" s="96"/>
      <c r="C28" s="96"/>
      <c r="D28" s="96"/>
      <c r="E28" s="96"/>
      <c r="F28" s="96"/>
      <c r="G28" s="96"/>
      <c r="H28" s="96"/>
      <c r="I28" s="99">
        <f>I35</f>
        <v>149.2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41</v>
      </c>
      <c r="C30" s="60">
        <v>20.0</v>
      </c>
      <c r="D30" s="60">
        <v>5.0</v>
      </c>
      <c r="E30" s="60">
        <v>9.0</v>
      </c>
      <c r="F30" s="60">
        <v>1.0</v>
      </c>
      <c r="G30" s="60">
        <v>1.0</v>
      </c>
      <c r="H30" s="71">
        <v>6.0</v>
      </c>
      <c r="I30" s="73">
        <f t="shared" ref="I30:I34" si="7">sum(C30+1.2*D30+1.5*E30+2*F30+2*G30)-H30</f>
        <v>37.5</v>
      </c>
    </row>
    <row r="31">
      <c r="A31" s="76" t="s">
        <v>215</v>
      </c>
      <c r="B31" s="36" t="s">
        <v>262</v>
      </c>
      <c r="C31" s="60">
        <v>14.0</v>
      </c>
      <c r="D31" s="60">
        <v>3.0</v>
      </c>
      <c r="E31" s="60">
        <v>0.0</v>
      </c>
      <c r="F31" s="60">
        <v>1.0</v>
      </c>
      <c r="G31" s="60">
        <v>0.0</v>
      </c>
      <c r="H31" s="71">
        <v>1.0</v>
      </c>
      <c r="I31" s="73">
        <f t="shared" si="7"/>
        <v>18.6</v>
      </c>
    </row>
    <row r="32">
      <c r="A32" s="76" t="s">
        <v>216</v>
      </c>
      <c r="B32" s="36" t="s">
        <v>247</v>
      </c>
      <c r="C32" s="60">
        <v>17.0</v>
      </c>
      <c r="D32" s="60">
        <v>16.0</v>
      </c>
      <c r="E32" s="60">
        <v>7.0</v>
      </c>
      <c r="F32" s="60">
        <v>2.0</v>
      </c>
      <c r="G32" s="60">
        <v>0.0</v>
      </c>
      <c r="H32" s="71">
        <v>3.0</v>
      </c>
      <c r="I32" s="73">
        <f t="shared" si="7"/>
        <v>47.7</v>
      </c>
    </row>
    <row r="33">
      <c r="A33" s="76" t="s">
        <v>216</v>
      </c>
      <c r="B33" s="76" t="s">
        <v>91</v>
      </c>
      <c r="C33" s="60">
        <v>20.0</v>
      </c>
      <c r="D33" s="60">
        <v>6.0</v>
      </c>
      <c r="E33" s="60">
        <v>1.0</v>
      </c>
      <c r="F33" s="60">
        <v>1.0</v>
      </c>
      <c r="G33" s="60">
        <v>0.0</v>
      </c>
      <c r="H33" s="71">
        <v>2.0</v>
      </c>
      <c r="I33" s="73">
        <f t="shared" si="7"/>
        <v>28.7</v>
      </c>
    </row>
    <row r="34">
      <c r="A34" s="76" t="s">
        <v>216</v>
      </c>
      <c r="B34" s="70" t="s">
        <v>77</v>
      </c>
      <c r="C34" s="68">
        <v>11.0</v>
      </c>
      <c r="D34" s="68">
        <v>1.0</v>
      </c>
      <c r="E34" s="68">
        <v>3.0</v>
      </c>
      <c r="F34" s="68">
        <v>0.0</v>
      </c>
      <c r="G34" s="68">
        <v>0.0</v>
      </c>
      <c r="H34" s="79">
        <v>0.0</v>
      </c>
      <c r="I34" s="73">
        <f t="shared" si="7"/>
        <v>16.7</v>
      </c>
    </row>
    <row r="35">
      <c r="A35" s="96"/>
      <c r="B35" s="108" t="s">
        <v>217</v>
      </c>
      <c r="C35" s="109">
        <f>SUM(C30:C34)</f>
        <v>82</v>
      </c>
      <c r="D35" s="109">
        <f>SUM(D30:D34)*1.2</f>
        <v>37.2</v>
      </c>
      <c r="E35" s="109">
        <f>SUM(E30:E34)*1.5</f>
        <v>30</v>
      </c>
      <c r="F35" s="109">
        <f t="shared" ref="F35:G35" si="8">SUM(F30:F34)*2</f>
        <v>10</v>
      </c>
      <c r="G35" s="109">
        <f t="shared" si="8"/>
        <v>2</v>
      </c>
      <c r="H35" s="109">
        <f>SUM(H30:H34) *-1</f>
        <v>-12</v>
      </c>
      <c r="I35" s="110">
        <f>SUM(C35:H35)</f>
        <v>149.2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172.3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31.0</v>
      </c>
      <c r="D3" s="60">
        <v>12.0</v>
      </c>
      <c r="E3" s="60">
        <v>9.0</v>
      </c>
      <c r="F3" s="60">
        <v>0.0</v>
      </c>
      <c r="G3" s="60">
        <v>1.0</v>
      </c>
      <c r="H3" s="71">
        <v>4.0</v>
      </c>
      <c r="I3" s="72">
        <f t="shared" ref="I3:I7" si="1">sum(C3+1.2*D3+1.5*E3+2*F3+2*G3)-H3</f>
        <v>56.9</v>
      </c>
    </row>
    <row r="4">
      <c r="A4" s="76" t="s">
        <v>215</v>
      </c>
      <c r="B4" s="76" t="s">
        <v>115</v>
      </c>
      <c r="C4" s="60">
        <v>23.0</v>
      </c>
      <c r="D4" s="60">
        <v>2.0</v>
      </c>
      <c r="E4" s="60">
        <v>6.0</v>
      </c>
      <c r="F4" s="60">
        <v>2.0</v>
      </c>
      <c r="G4" s="60">
        <v>1.0</v>
      </c>
      <c r="H4" s="71">
        <v>5.0</v>
      </c>
      <c r="I4" s="72">
        <f t="shared" si="1"/>
        <v>35.4</v>
      </c>
    </row>
    <row r="5">
      <c r="A5" s="76" t="s">
        <v>216</v>
      </c>
      <c r="B5" s="70" t="s">
        <v>101</v>
      </c>
      <c r="C5" s="60">
        <v>20.0</v>
      </c>
      <c r="D5" s="60">
        <v>11.0</v>
      </c>
      <c r="E5" s="60">
        <v>0.0</v>
      </c>
      <c r="F5" s="60">
        <v>0.0</v>
      </c>
      <c r="G5" s="60">
        <v>5.0</v>
      </c>
      <c r="H5" s="71">
        <v>1.0</v>
      </c>
      <c r="I5" s="72">
        <f t="shared" si="1"/>
        <v>42.2</v>
      </c>
    </row>
    <row r="6">
      <c r="A6" s="76" t="s">
        <v>216</v>
      </c>
      <c r="B6" s="76" t="s">
        <v>121</v>
      </c>
      <c r="C6" s="60">
        <v>6.0</v>
      </c>
      <c r="D6" s="60">
        <v>10.0</v>
      </c>
      <c r="E6" s="60">
        <v>3.0</v>
      </c>
      <c r="F6" s="60">
        <v>0.0</v>
      </c>
      <c r="G6" s="60">
        <v>1.0</v>
      </c>
      <c r="H6" s="71">
        <v>2.0</v>
      </c>
      <c r="I6" s="72">
        <f t="shared" si="1"/>
        <v>22.5</v>
      </c>
    </row>
    <row r="7">
      <c r="A7" s="76" t="s">
        <v>216</v>
      </c>
      <c r="B7" s="36" t="s">
        <v>110</v>
      </c>
      <c r="C7" s="77">
        <v>8.0</v>
      </c>
      <c r="D7" s="77">
        <v>4.0</v>
      </c>
      <c r="E7" s="77">
        <v>1.0</v>
      </c>
      <c r="F7" s="77">
        <v>0.0</v>
      </c>
      <c r="G7" s="77">
        <v>1.0</v>
      </c>
      <c r="H7" s="78">
        <v>1.0</v>
      </c>
      <c r="I7" s="72">
        <f t="shared" si="1"/>
        <v>15.3</v>
      </c>
    </row>
    <row r="8">
      <c r="A8" s="96"/>
      <c r="B8" s="102" t="s">
        <v>217</v>
      </c>
      <c r="C8" s="103">
        <f>SUM(C3:C7)</f>
        <v>88</v>
      </c>
      <c r="D8" s="103">
        <f>SUM(D3:D7)*1.2</f>
        <v>46.8</v>
      </c>
      <c r="E8" s="103">
        <f>SUM(E3:E7)*1.5</f>
        <v>28.5</v>
      </c>
      <c r="F8" s="103">
        <f t="shared" ref="F8:G8" si="2">SUM(F3:F7)*2</f>
        <v>4</v>
      </c>
      <c r="G8" s="103">
        <f t="shared" si="2"/>
        <v>18</v>
      </c>
      <c r="H8" s="104">
        <f>SUM(H3:H7) *-1</f>
        <v>-13</v>
      </c>
      <c r="I8" s="105">
        <f>SUM(C8:H8)</f>
        <v>172.3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>
        <f>I17</f>
        <v>205.1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92</v>
      </c>
      <c r="C12" s="60">
        <v>21.0</v>
      </c>
      <c r="D12" s="60">
        <v>5.0</v>
      </c>
      <c r="E12" s="60">
        <v>12.0</v>
      </c>
      <c r="F12" s="60">
        <v>0.0</v>
      </c>
      <c r="G12" s="60">
        <v>0.0</v>
      </c>
      <c r="H12" s="71">
        <v>3.0</v>
      </c>
      <c r="I12" s="73">
        <f t="shared" ref="I12:I16" si="3">sum(C12+1.2*D12+1.5*E12+2*F12+2*G12)-H12</f>
        <v>42</v>
      </c>
    </row>
    <row r="13">
      <c r="A13" s="76" t="s">
        <v>215</v>
      </c>
      <c r="B13" s="76" t="s">
        <v>112</v>
      </c>
      <c r="C13" s="60">
        <v>14.0</v>
      </c>
      <c r="D13" s="60">
        <v>3.0</v>
      </c>
      <c r="E13" s="60">
        <v>7.0</v>
      </c>
      <c r="F13" s="60">
        <v>0.0</v>
      </c>
      <c r="G13" s="60">
        <v>0.0</v>
      </c>
      <c r="H13" s="71">
        <v>2.0</v>
      </c>
      <c r="I13" s="73">
        <f t="shared" si="3"/>
        <v>26.1</v>
      </c>
    </row>
    <row r="14">
      <c r="A14" s="76" t="s">
        <v>216</v>
      </c>
      <c r="B14" s="76" t="s">
        <v>125</v>
      </c>
      <c r="C14" s="60">
        <v>34.0</v>
      </c>
      <c r="D14" s="60">
        <v>18.0</v>
      </c>
      <c r="E14" s="60">
        <v>7.0</v>
      </c>
      <c r="F14" s="60">
        <v>0.0</v>
      </c>
      <c r="G14" s="60">
        <v>1.0</v>
      </c>
      <c r="H14" s="71">
        <v>4.0</v>
      </c>
      <c r="I14" s="73">
        <f t="shared" si="3"/>
        <v>64.1</v>
      </c>
    </row>
    <row r="15">
      <c r="A15" s="76" t="s">
        <v>216</v>
      </c>
      <c r="B15" s="76" t="s">
        <v>80</v>
      </c>
      <c r="C15" s="60">
        <v>24.0</v>
      </c>
      <c r="D15" s="60">
        <v>6.0</v>
      </c>
      <c r="E15" s="60">
        <v>5.0</v>
      </c>
      <c r="F15" s="60">
        <v>1.0</v>
      </c>
      <c r="G15" s="60">
        <v>0.0</v>
      </c>
      <c r="H15" s="71">
        <v>1.0</v>
      </c>
      <c r="I15" s="73">
        <f t="shared" si="3"/>
        <v>39.7</v>
      </c>
    </row>
    <row r="16">
      <c r="A16" s="76" t="s">
        <v>216</v>
      </c>
      <c r="B16" s="70" t="s">
        <v>106</v>
      </c>
      <c r="C16" s="77">
        <v>26.0</v>
      </c>
      <c r="D16" s="77">
        <v>6.0</v>
      </c>
      <c r="E16" s="77">
        <v>0.0</v>
      </c>
      <c r="F16" s="77">
        <v>0.0</v>
      </c>
      <c r="G16" s="77">
        <v>0.0</v>
      </c>
      <c r="H16" s="78">
        <v>0.0</v>
      </c>
      <c r="I16" s="73">
        <f t="shared" si="3"/>
        <v>33.2</v>
      </c>
    </row>
    <row r="17">
      <c r="A17" s="96"/>
      <c r="B17" s="102" t="s">
        <v>217</v>
      </c>
      <c r="C17" s="103">
        <f>SUM(C12:C16)</f>
        <v>119</v>
      </c>
      <c r="D17" s="103">
        <f>SUM(D12:D16)*1.2</f>
        <v>45.6</v>
      </c>
      <c r="E17" s="103">
        <f>SUM(E12:E16)*1.5</f>
        <v>46.5</v>
      </c>
      <c r="F17" s="103">
        <f t="shared" ref="F17:G17" si="4">SUM(F12:F16)*2</f>
        <v>2</v>
      </c>
      <c r="G17" s="103">
        <f t="shared" si="4"/>
        <v>2</v>
      </c>
      <c r="H17" s="104">
        <f>SUM(H12:H16) *-1</f>
        <v>-10</v>
      </c>
      <c r="I17" s="105">
        <f>SUM(C17:H17)</f>
        <v>205.1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161.1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73</v>
      </c>
      <c r="C21" s="60">
        <v>27.0</v>
      </c>
      <c r="D21" s="60">
        <v>8.0</v>
      </c>
      <c r="E21" s="60">
        <v>5.0</v>
      </c>
      <c r="F21" s="60">
        <v>2.0</v>
      </c>
      <c r="G21" s="60">
        <v>0.0</v>
      </c>
      <c r="H21" s="71">
        <v>2.0</v>
      </c>
      <c r="I21" s="73">
        <f t="shared" ref="I21:I25" si="5">sum(C21+1.2*D21+1.5*E21+2*F21+2*G21)-H21</f>
        <v>46.1</v>
      </c>
    </row>
    <row r="22">
      <c r="A22" s="76" t="s">
        <v>215</v>
      </c>
      <c r="B22" s="76" t="s">
        <v>96</v>
      </c>
      <c r="C22" s="60">
        <v>16.0</v>
      </c>
      <c r="D22" s="60">
        <v>5.0</v>
      </c>
      <c r="E22" s="60">
        <v>5.0</v>
      </c>
      <c r="F22" s="60">
        <v>0.0</v>
      </c>
      <c r="G22" s="60">
        <v>0.0</v>
      </c>
      <c r="H22" s="71">
        <v>1.0</v>
      </c>
      <c r="I22" s="73">
        <f t="shared" si="5"/>
        <v>28.5</v>
      </c>
    </row>
    <row r="23">
      <c r="A23" s="76" t="s">
        <v>216</v>
      </c>
      <c r="B23" s="76" t="s">
        <v>111</v>
      </c>
      <c r="C23" s="60">
        <v>24.0</v>
      </c>
      <c r="D23" s="60">
        <v>11.0</v>
      </c>
      <c r="E23" s="60">
        <v>3.0</v>
      </c>
      <c r="F23" s="60">
        <v>3.0</v>
      </c>
      <c r="G23" s="60">
        <v>0.0</v>
      </c>
      <c r="H23" s="71">
        <v>2.0</v>
      </c>
      <c r="I23" s="73">
        <f t="shared" si="5"/>
        <v>45.7</v>
      </c>
    </row>
    <row r="24">
      <c r="A24" s="76" t="s">
        <v>216</v>
      </c>
      <c r="B24" s="36" t="s">
        <v>114</v>
      </c>
      <c r="C24" s="60">
        <v>15.0</v>
      </c>
      <c r="D24" s="60">
        <v>2.0</v>
      </c>
      <c r="E24" s="60">
        <v>1.0</v>
      </c>
      <c r="F24" s="60">
        <v>1.0</v>
      </c>
      <c r="G24" s="60">
        <v>2.0</v>
      </c>
      <c r="H24" s="71">
        <v>0.0</v>
      </c>
      <c r="I24" s="73">
        <f t="shared" si="5"/>
        <v>24.9</v>
      </c>
    </row>
    <row r="25">
      <c r="A25" s="76" t="s">
        <v>216</v>
      </c>
      <c r="B25" s="76" t="s">
        <v>133</v>
      </c>
      <c r="C25" s="60">
        <v>9.0</v>
      </c>
      <c r="D25" s="60">
        <v>2.0</v>
      </c>
      <c r="E25" s="60">
        <v>1.0</v>
      </c>
      <c r="F25" s="60">
        <v>3.0</v>
      </c>
      <c r="G25" s="60">
        <v>0.0</v>
      </c>
      <c r="H25" s="71">
        <v>3.0</v>
      </c>
      <c r="I25" s="73">
        <f t="shared" si="5"/>
        <v>15.9</v>
      </c>
    </row>
    <row r="26">
      <c r="A26" s="96"/>
      <c r="B26" s="108" t="s">
        <v>217</v>
      </c>
      <c r="C26" s="109">
        <f>SUM(C21:C25)</f>
        <v>91</v>
      </c>
      <c r="D26" s="109">
        <f>SUM(D21:D25)*1.2</f>
        <v>33.6</v>
      </c>
      <c r="E26" s="109">
        <f>SUM(E21:E25)*1.5</f>
        <v>22.5</v>
      </c>
      <c r="F26" s="109">
        <f t="shared" ref="F26:G26" si="6">SUM(F21:F25)*2</f>
        <v>18</v>
      </c>
      <c r="G26" s="109">
        <f t="shared" si="6"/>
        <v>4</v>
      </c>
      <c r="H26" s="109">
        <f>SUM(H21:H25) *-1</f>
        <v>-8</v>
      </c>
      <c r="I26" s="110">
        <f>SUM(C26:H26)</f>
        <v>161.1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>
        <f>I35</f>
        <v>180.3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78</v>
      </c>
      <c r="C30" s="60">
        <v>25.0</v>
      </c>
      <c r="D30" s="60">
        <v>6.0</v>
      </c>
      <c r="E30" s="60">
        <v>0.0</v>
      </c>
      <c r="F30" s="60">
        <v>0.0</v>
      </c>
      <c r="G30" s="60">
        <v>0.0</v>
      </c>
      <c r="H30" s="71">
        <v>2.0</v>
      </c>
      <c r="I30" s="73">
        <f t="shared" ref="I30:I34" si="7">sum(C30+1.2*D30+1.5*E30+2*F30+2*G30)-H30</f>
        <v>30.2</v>
      </c>
    </row>
    <row r="31">
      <c r="A31" s="76" t="s">
        <v>215</v>
      </c>
      <c r="B31" s="36" t="s">
        <v>43</v>
      </c>
      <c r="C31" s="60">
        <v>19.0</v>
      </c>
      <c r="D31" s="60">
        <v>12.0</v>
      </c>
      <c r="E31" s="60">
        <v>4.0</v>
      </c>
      <c r="F31" s="60">
        <v>1.0</v>
      </c>
      <c r="G31" s="60">
        <v>1.0</v>
      </c>
      <c r="H31" s="71">
        <v>1.0</v>
      </c>
      <c r="I31" s="73">
        <f t="shared" si="7"/>
        <v>42.4</v>
      </c>
    </row>
    <row r="32">
      <c r="A32" s="76" t="s">
        <v>216</v>
      </c>
      <c r="B32" s="36" t="s">
        <v>71</v>
      </c>
      <c r="C32" s="60">
        <v>21.0</v>
      </c>
      <c r="D32" s="60">
        <v>11.0</v>
      </c>
      <c r="E32" s="60">
        <v>7.0</v>
      </c>
      <c r="F32" s="60">
        <v>1.0</v>
      </c>
      <c r="G32" s="60">
        <v>1.0</v>
      </c>
      <c r="H32" s="71">
        <v>2.0</v>
      </c>
      <c r="I32" s="73">
        <f t="shared" si="7"/>
        <v>46.7</v>
      </c>
    </row>
    <row r="33">
      <c r="A33" s="76" t="s">
        <v>216</v>
      </c>
      <c r="B33" s="76" t="s">
        <v>88</v>
      </c>
      <c r="C33" s="60">
        <v>27.0</v>
      </c>
      <c r="D33" s="60">
        <v>4.0</v>
      </c>
      <c r="E33" s="60">
        <v>6.0</v>
      </c>
      <c r="F33" s="60">
        <v>1.0</v>
      </c>
      <c r="G33" s="60">
        <v>1.0</v>
      </c>
      <c r="H33" s="71">
        <v>1.0</v>
      </c>
      <c r="I33" s="73">
        <f t="shared" si="7"/>
        <v>43.8</v>
      </c>
    </row>
    <row r="34">
      <c r="A34" s="76" t="s">
        <v>216</v>
      </c>
      <c r="B34" s="70" t="s">
        <v>81</v>
      </c>
      <c r="C34" s="89">
        <v>6.0</v>
      </c>
      <c r="D34" s="89">
        <v>6.0</v>
      </c>
      <c r="E34" s="89">
        <v>0.0</v>
      </c>
      <c r="F34" s="89">
        <v>2.0</v>
      </c>
      <c r="G34" s="89">
        <v>0.0</v>
      </c>
      <c r="H34" s="90">
        <v>0.0</v>
      </c>
      <c r="I34" s="73">
        <f t="shared" si="7"/>
        <v>17.2</v>
      </c>
    </row>
    <row r="35">
      <c r="A35" s="96"/>
      <c r="B35" s="108" t="s">
        <v>217</v>
      </c>
      <c r="C35" s="109">
        <f>SUM(C30:C34)</f>
        <v>98</v>
      </c>
      <c r="D35" s="109">
        <f>SUM(D30:D34)*1.2</f>
        <v>46.8</v>
      </c>
      <c r="E35" s="109">
        <f>SUM(E30:E34)*1.5</f>
        <v>25.5</v>
      </c>
      <c r="F35" s="109">
        <f t="shared" ref="F35:G35" si="8">SUM(F30:F34)*2</f>
        <v>10</v>
      </c>
      <c r="G35" s="109">
        <f t="shared" si="8"/>
        <v>6</v>
      </c>
      <c r="H35" s="109">
        <f>SUM(H30:H34) *-1</f>
        <v>-6</v>
      </c>
      <c r="I35" s="110">
        <f>SUM(C35:H35)</f>
        <v>180.3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>
        <f>I8</f>
        <v>134.5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72</v>
      </c>
      <c r="C3" s="60">
        <v>23.0</v>
      </c>
      <c r="D3" s="60">
        <v>2.0</v>
      </c>
      <c r="E3" s="60">
        <v>6.0</v>
      </c>
      <c r="F3" s="60">
        <v>1.0</v>
      </c>
      <c r="G3" s="60">
        <v>1.0</v>
      </c>
      <c r="H3" s="71">
        <v>4.0</v>
      </c>
      <c r="I3" s="72">
        <f t="shared" ref="I3:I7" si="1">sum(C3+1.2*D3+1.5*E3+2*F3+2*G3)-H3</f>
        <v>34.4</v>
      </c>
    </row>
    <row r="4">
      <c r="A4" s="76" t="s">
        <v>215</v>
      </c>
      <c r="B4" s="76" t="s">
        <v>137</v>
      </c>
      <c r="C4" s="60">
        <v>9.0</v>
      </c>
      <c r="D4" s="60">
        <v>1.0</v>
      </c>
      <c r="E4" s="60">
        <v>1.0</v>
      </c>
      <c r="F4" s="60">
        <v>0.0</v>
      </c>
      <c r="G4" s="60">
        <v>0.0</v>
      </c>
      <c r="H4" s="71">
        <v>0.0</v>
      </c>
      <c r="I4" s="72">
        <f t="shared" si="1"/>
        <v>11.7</v>
      </c>
    </row>
    <row r="5">
      <c r="A5" s="76" t="s">
        <v>216</v>
      </c>
      <c r="B5" s="70" t="s">
        <v>66</v>
      </c>
      <c r="C5" s="60">
        <v>26.0</v>
      </c>
      <c r="D5" s="60">
        <v>12.0</v>
      </c>
      <c r="E5" s="60">
        <v>10.0</v>
      </c>
      <c r="F5" s="60">
        <v>3.0</v>
      </c>
      <c r="G5" s="60">
        <v>0.0</v>
      </c>
      <c r="H5" s="71">
        <v>7.0</v>
      </c>
      <c r="I5" s="72">
        <f t="shared" si="1"/>
        <v>54.4</v>
      </c>
    </row>
    <row r="6">
      <c r="A6" s="76" t="s">
        <v>216</v>
      </c>
      <c r="B6" s="76" t="s">
        <v>82</v>
      </c>
      <c r="C6" s="60">
        <v>10.0</v>
      </c>
      <c r="D6" s="60">
        <v>5.0</v>
      </c>
      <c r="E6" s="60">
        <v>2.0</v>
      </c>
      <c r="F6" s="60">
        <v>2.0</v>
      </c>
      <c r="G6" s="60">
        <v>0.0</v>
      </c>
      <c r="H6" s="71">
        <v>2.0</v>
      </c>
      <c r="I6" s="72">
        <f t="shared" si="1"/>
        <v>21</v>
      </c>
    </row>
    <row r="7">
      <c r="A7" s="76" t="s">
        <v>216</v>
      </c>
      <c r="B7" s="36" t="s">
        <v>95</v>
      </c>
      <c r="C7" s="77">
        <v>5.0</v>
      </c>
      <c r="D7" s="77">
        <v>5.0</v>
      </c>
      <c r="E7" s="77">
        <v>0.0</v>
      </c>
      <c r="F7" s="77">
        <v>2.0</v>
      </c>
      <c r="G7" s="77">
        <v>0.0</v>
      </c>
      <c r="H7" s="78">
        <v>2.0</v>
      </c>
      <c r="I7" s="72">
        <f t="shared" si="1"/>
        <v>13</v>
      </c>
    </row>
    <row r="8">
      <c r="A8" s="96"/>
      <c r="B8" s="102" t="s">
        <v>217</v>
      </c>
      <c r="C8" s="103">
        <f>SUM(C3:C7)</f>
        <v>73</v>
      </c>
      <c r="D8" s="103">
        <f>SUM(D3:D7)*1.2</f>
        <v>30</v>
      </c>
      <c r="E8" s="103">
        <f>SUM(E3:E7)*1.5</f>
        <v>28.5</v>
      </c>
      <c r="F8" s="103">
        <f t="shared" ref="F8:G8" si="2">SUM(F3:F7)*2</f>
        <v>16</v>
      </c>
      <c r="G8" s="103">
        <f t="shared" si="2"/>
        <v>2</v>
      </c>
      <c r="H8" s="104">
        <f>SUM(H3:H7) *-1</f>
        <v>-15</v>
      </c>
      <c r="I8" s="105">
        <f>SUM(C8:H8)</f>
        <v>134.5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160.9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90</v>
      </c>
      <c r="C12" s="60">
        <v>18.0</v>
      </c>
      <c r="D12" s="60">
        <v>3.0</v>
      </c>
      <c r="E12" s="60">
        <v>7.0</v>
      </c>
      <c r="F12" s="60">
        <v>1.0</v>
      </c>
      <c r="G12" s="60">
        <v>2.0</v>
      </c>
      <c r="H12" s="71">
        <v>4.0</v>
      </c>
      <c r="I12" s="73">
        <f t="shared" ref="I12:I16" si="3">sum(C12+1.2*D12+1.5*E12+2*F12+2*G12)-H12</f>
        <v>34.1</v>
      </c>
    </row>
    <row r="13">
      <c r="A13" s="76" t="s">
        <v>215</v>
      </c>
      <c r="B13" s="76" t="s">
        <v>100</v>
      </c>
      <c r="C13" s="60">
        <v>19.0</v>
      </c>
      <c r="D13" s="60">
        <v>5.0</v>
      </c>
      <c r="E13" s="60">
        <v>0.0</v>
      </c>
      <c r="F13" s="60">
        <v>3.0</v>
      </c>
      <c r="G13" s="60">
        <v>0.0</v>
      </c>
      <c r="H13" s="71">
        <v>1.0</v>
      </c>
      <c r="I13" s="73">
        <f t="shared" si="3"/>
        <v>30</v>
      </c>
    </row>
    <row r="14">
      <c r="A14" s="76" t="s">
        <v>216</v>
      </c>
      <c r="B14" s="76" t="s">
        <v>99</v>
      </c>
      <c r="C14" s="60">
        <v>16.0</v>
      </c>
      <c r="D14" s="60">
        <v>12.0</v>
      </c>
      <c r="E14" s="60">
        <v>4.0</v>
      </c>
      <c r="F14" s="60">
        <v>1.0</v>
      </c>
      <c r="G14" s="60">
        <v>0.0</v>
      </c>
      <c r="H14" s="71">
        <v>2.0</v>
      </c>
      <c r="I14" s="73">
        <f t="shared" si="3"/>
        <v>36.4</v>
      </c>
    </row>
    <row r="15">
      <c r="A15" s="76" t="s">
        <v>216</v>
      </c>
      <c r="B15" s="76" t="s">
        <v>89</v>
      </c>
      <c r="C15" s="60">
        <v>10.0</v>
      </c>
      <c r="D15" s="60">
        <v>7.0</v>
      </c>
      <c r="E15" s="60">
        <v>5.0</v>
      </c>
      <c r="F15" s="60">
        <v>1.0</v>
      </c>
      <c r="G15" s="60">
        <v>0.0</v>
      </c>
      <c r="H15" s="71">
        <v>1.0</v>
      </c>
      <c r="I15" s="73">
        <f t="shared" si="3"/>
        <v>26.9</v>
      </c>
    </row>
    <row r="16">
      <c r="A16" s="76" t="s">
        <v>216</v>
      </c>
      <c r="B16" s="70" t="s">
        <v>85</v>
      </c>
      <c r="C16" s="77">
        <v>15.0</v>
      </c>
      <c r="D16" s="77">
        <v>15.0</v>
      </c>
      <c r="E16" s="77">
        <v>1.0</v>
      </c>
      <c r="F16" s="77">
        <v>1.0</v>
      </c>
      <c r="G16" s="77">
        <v>0.0</v>
      </c>
      <c r="H16" s="78">
        <v>3.0</v>
      </c>
      <c r="I16" s="73">
        <f t="shared" si="3"/>
        <v>33.5</v>
      </c>
    </row>
    <row r="17">
      <c r="A17" s="96"/>
      <c r="B17" s="102" t="s">
        <v>217</v>
      </c>
      <c r="C17" s="103">
        <f>SUM(C12:C16)</f>
        <v>78</v>
      </c>
      <c r="D17" s="103">
        <f>SUM(D12:D16)*1.2</f>
        <v>50.4</v>
      </c>
      <c r="E17" s="103">
        <f>SUM(E12:E16)*1.5</f>
        <v>25.5</v>
      </c>
      <c r="F17" s="103">
        <f t="shared" ref="F17:G17" si="4">SUM(F12:F16)*2</f>
        <v>14</v>
      </c>
      <c r="G17" s="103">
        <f t="shared" si="4"/>
        <v>4</v>
      </c>
      <c r="H17" s="104">
        <f>SUM(H12:H16) *-1</f>
        <v>-11</v>
      </c>
      <c r="I17" s="105">
        <f>SUM(C17:H17)</f>
        <v>160.9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>
        <f>I26</f>
        <v>153.6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84</v>
      </c>
      <c r="C21" s="60">
        <v>37.0</v>
      </c>
      <c r="D21" s="60">
        <v>3.0</v>
      </c>
      <c r="E21" s="60">
        <v>7.0</v>
      </c>
      <c r="F21" s="60">
        <v>2.0</v>
      </c>
      <c r="G21" s="60">
        <v>0.0</v>
      </c>
      <c r="H21" s="71">
        <v>6.0</v>
      </c>
      <c r="I21" s="73">
        <f t="shared" ref="I21:I25" si="5">sum(C21+1.2*D21+1.5*E21+2*F21+2*G21)-H21</f>
        <v>49.1</v>
      </c>
    </row>
    <row r="22">
      <c r="A22" s="76" t="s">
        <v>215</v>
      </c>
      <c r="B22" s="76" t="s">
        <v>97</v>
      </c>
      <c r="C22" s="60">
        <v>14.0</v>
      </c>
      <c r="D22" s="60">
        <v>4.0</v>
      </c>
      <c r="E22" s="60">
        <v>1.0</v>
      </c>
      <c r="F22" s="60">
        <v>1.0</v>
      </c>
      <c r="G22" s="60">
        <v>0.0</v>
      </c>
      <c r="H22" s="71">
        <v>2.0</v>
      </c>
      <c r="I22" s="73">
        <f t="shared" si="5"/>
        <v>20.3</v>
      </c>
    </row>
    <row r="23">
      <c r="A23" s="76" t="s">
        <v>216</v>
      </c>
      <c r="B23" s="76" t="s">
        <v>50</v>
      </c>
      <c r="C23" s="60">
        <v>39.0</v>
      </c>
      <c r="D23" s="60">
        <v>3.0</v>
      </c>
      <c r="E23" s="60">
        <v>5.0</v>
      </c>
      <c r="F23" s="60">
        <v>2.0</v>
      </c>
      <c r="G23" s="60">
        <v>1.0</v>
      </c>
      <c r="H23" s="71">
        <v>1.0</v>
      </c>
      <c r="I23" s="73">
        <f t="shared" si="5"/>
        <v>55.1</v>
      </c>
    </row>
    <row r="24">
      <c r="A24" s="76" t="s">
        <v>216</v>
      </c>
      <c r="B24" s="36" t="s">
        <v>58</v>
      </c>
      <c r="C24" s="60">
        <v>14.0</v>
      </c>
      <c r="D24" s="60">
        <v>6.0</v>
      </c>
      <c r="E24" s="60">
        <v>1.0</v>
      </c>
      <c r="F24" s="60">
        <v>0.0</v>
      </c>
      <c r="G24" s="60">
        <v>0.0</v>
      </c>
      <c r="H24" s="71">
        <v>1.0</v>
      </c>
      <c r="I24" s="73">
        <f t="shared" si="5"/>
        <v>21.7</v>
      </c>
    </row>
    <row r="25">
      <c r="A25" s="76" t="s">
        <v>216</v>
      </c>
      <c r="B25" s="76" t="s">
        <v>124</v>
      </c>
      <c r="C25" s="60">
        <v>6.0</v>
      </c>
      <c r="D25" s="60">
        <v>2.0</v>
      </c>
      <c r="E25" s="60">
        <v>0.0</v>
      </c>
      <c r="F25" s="60">
        <v>0.0</v>
      </c>
      <c r="G25" s="60">
        <v>0.0</v>
      </c>
      <c r="H25" s="71">
        <v>1.0</v>
      </c>
      <c r="I25" s="73">
        <f t="shared" si="5"/>
        <v>7.4</v>
      </c>
    </row>
    <row r="26">
      <c r="A26" s="96"/>
      <c r="B26" s="108" t="s">
        <v>217</v>
      </c>
      <c r="C26" s="109">
        <f>SUM(C21:C25)</f>
        <v>110</v>
      </c>
      <c r="D26" s="109">
        <f>SUM(D21:D25)*1.2</f>
        <v>21.6</v>
      </c>
      <c r="E26" s="109">
        <f>SUM(E21:E25)*1.5</f>
        <v>21</v>
      </c>
      <c r="F26" s="109">
        <f t="shared" ref="F26:G26" si="6">SUM(F21:F25)*2</f>
        <v>10</v>
      </c>
      <c r="G26" s="109">
        <f t="shared" si="6"/>
        <v>2</v>
      </c>
      <c r="H26" s="109">
        <f>SUM(H21:H25) *-1</f>
        <v>-11</v>
      </c>
      <c r="I26" s="110">
        <f>SUM(C26:H26)</f>
        <v>153.6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118">
        <f>I35</f>
        <v>141.5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75</v>
      </c>
      <c r="C30" s="60">
        <v>33.0</v>
      </c>
      <c r="D30" s="60">
        <v>12.0</v>
      </c>
      <c r="E30" s="60">
        <v>3.0</v>
      </c>
      <c r="F30" s="60">
        <v>2.0</v>
      </c>
      <c r="G30" s="60">
        <v>0.0</v>
      </c>
      <c r="H30" s="71">
        <v>5.0</v>
      </c>
      <c r="I30" s="73">
        <f t="shared" ref="I30:I34" si="7">sum(C30+1.2*D30+1.5*E30+2*F30+2*G30)-H30</f>
        <v>50.9</v>
      </c>
    </row>
    <row r="31">
      <c r="A31" s="76" t="s">
        <v>215</v>
      </c>
      <c r="B31" s="76" t="s">
        <v>139</v>
      </c>
      <c r="C31" s="60">
        <v>0.0</v>
      </c>
      <c r="D31" s="60">
        <v>1.0</v>
      </c>
      <c r="E31" s="60">
        <v>1.0</v>
      </c>
      <c r="F31" s="60">
        <v>0.0</v>
      </c>
      <c r="G31" s="60">
        <v>0.0</v>
      </c>
      <c r="H31" s="71">
        <v>1.0</v>
      </c>
      <c r="I31" s="73">
        <f t="shared" si="7"/>
        <v>1.7</v>
      </c>
    </row>
    <row r="32">
      <c r="A32" s="76" t="s">
        <v>216</v>
      </c>
      <c r="B32" s="36" t="s">
        <v>70</v>
      </c>
      <c r="C32" s="60">
        <v>10.0</v>
      </c>
      <c r="D32" s="60">
        <v>6.0</v>
      </c>
      <c r="E32" s="60">
        <v>0.0</v>
      </c>
      <c r="F32" s="60">
        <v>0.0</v>
      </c>
      <c r="G32" s="60">
        <v>1.0</v>
      </c>
      <c r="H32" s="71">
        <v>0.0</v>
      </c>
      <c r="I32" s="73">
        <f t="shared" si="7"/>
        <v>19.2</v>
      </c>
    </row>
    <row r="33">
      <c r="A33" s="76" t="s">
        <v>216</v>
      </c>
      <c r="B33" s="76" t="s">
        <v>128</v>
      </c>
      <c r="C33" s="60">
        <v>15.0</v>
      </c>
      <c r="D33" s="60">
        <v>13.0</v>
      </c>
      <c r="E33" s="60">
        <v>1.0</v>
      </c>
      <c r="F33" s="60">
        <v>1.0</v>
      </c>
      <c r="G33" s="60">
        <v>0.0</v>
      </c>
      <c r="H33" s="71">
        <v>1.0</v>
      </c>
      <c r="I33" s="73">
        <f t="shared" si="7"/>
        <v>33.1</v>
      </c>
    </row>
    <row r="34">
      <c r="A34" s="76" t="s">
        <v>216</v>
      </c>
      <c r="B34" s="70" t="s">
        <v>108</v>
      </c>
      <c r="C34" s="60">
        <v>12.0</v>
      </c>
      <c r="D34" s="60">
        <v>13.0</v>
      </c>
      <c r="E34" s="60">
        <v>2.0</v>
      </c>
      <c r="F34" s="60">
        <v>1.0</v>
      </c>
      <c r="G34" s="60">
        <v>3.0</v>
      </c>
      <c r="H34" s="71">
        <v>2.0</v>
      </c>
      <c r="I34" s="73">
        <f t="shared" si="7"/>
        <v>36.6</v>
      </c>
    </row>
    <row r="35">
      <c r="A35" s="96"/>
      <c r="B35" s="108" t="s">
        <v>217</v>
      </c>
      <c r="C35" s="109">
        <f>SUM(C30:C34)</f>
        <v>70</v>
      </c>
      <c r="D35" s="109">
        <f>SUM(D30:D34)*1.2</f>
        <v>54</v>
      </c>
      <c r="E35" s="109">
        <f>SUM(E30:E34)*1.5</f>
        <v>10.5</v>
      </c>
      <c r="F35" s="109">
        <f t="shared" ref="F35:G35" si="8">SUM(F30:F34)*2</f>
        <v>8</v>
      </c>
      <c r="G35" s="109">
        <f t="shared" si="8"/>
        <v>8</v>
      </c>
      <c r="H35" s="109">
        <f>SUM(H30:H34) *-1</f>
        <v>-9</v>
      </c>
      <c r="I35" s="110">
        <f>SUM(C35:H35)</f>
        <v>141.5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>
        <f>I8</f>
        <v>165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73</v>
      </c>
      <c r="C3" s="60">
        <v>15.0</v>
      </c>
      <c r="D3" s="60">
        <v>3.0</v>
      </c>
      <c r="E3" s="60">
        <v>5.0</v>
      </c>
      <c r="F3" s="60">
        <v>0.0</v>
      </c>
      <c r="G3" s="60">
        <v>2.0</v>
      </c>
      <c r="H3" s="71">
        <v>2.0</v>
      </c>
      <c r="I3" s="72">
        <f t="shared" ref="I3:I7" si="1">sum(C3+1.2*D3+1.5*E3+2*F3+2*G3)-H3</f>
        <v>28.1</v>
      </c>
    </row>
    <row r="4">
      <c r="A4" s="76" t="s">
        <v>215</v>
      </c>
      <c r="B4" s="76" t="s">
        <v>47</v>
      </c>
      <c r="C4" s="60">
        <v>21.0</v>
      </c>
      <c r="D4" s="60">
        <v>3.0</v>
      </c>
      <c r="E4" s="60">
        <v>2.0</v>
      </c>
      <c r="F4" s="60">
        <v>1.0</v>
      </c>
      <c r="G4" s="60">
        <v>0.0</v>
      </c>
      <c r="H4" s="71">
        <v>3.0</v>
      </c>
      <c r="I4" s="72">
        <f t="shared" si="1"/>
        <v>26.6</v>
      </c>
    </row>
    <row r="5">
      <c r="A5" s="76" t="s">
        <v>216</v>
      </c>
      <c r="B5" s="70" t="s">
        <v>76</v>
      </c>
      <c r="C5" s="60">
        <v>25.0</v>
      </c>
      <c r="D5" s="60">
        <v>7.0</v>
      </c>
      <c r="E5" s="60">
        <v>6.0</v>
      </c>
      <c r="F5" s="60">
        <v>5.0</v>
      </c>
      <c r="G5" s="60">
        <v>0.0</v>
      </c>
      <c r="H5" s="71">
        <v>1.0</v>
      </c>
      <c r="I5" s="72">
        <f t="shared" si="1"/>
        <v>51.4</v>
      </c>
    </row>
    <row r="6">
      <c r="A6" s="76" t="s">
        <v>216</v>
      </c>
      <c r="B6" s="76" t="s">
        <v>80</v>
      </c>
      <c r="C6" s="60">
        <v>20.0</v>
      </c>
      <c r="D6" s="60">
        <v>5.0</v>
      </c>
      <c r="E6" s="60">
        <v>6.0</v>
      </c>
      <c r="F6" s="60">
        <v>3.0</v>
      </c>
      <c r="G6" s="60">
        <v>1.0</v>
      </c>
      <c r="H6" s="71">
        <v>2.0</v>
      </c>
      <c r="I6" s="72">
        <f t="shared" si="1"/>
        <v>41</v>
      </c>
    </row>
    <row r="7">
      <c r="A7" s="76" t="s">
        <v>216</v>
      </c>
      <c r="B7" s="36" t="s">
        <v>91</v>
      </c>
      <c r="C7" s="77">
        <v>9.0</v>
      </c>
      <c r="D7" s="77">
        <v>7.0</v>
      </c>
      <c r="E7" s="77">
        <v>1.0</v>
      </c>
      <c r="F7" s="77">
        <v>0.0</v>
      </c>
      <c r="G7" s="77">
        <v>0.0</v>
      </c>
      <c r="H7" s="78">
        <v>1.0</v>
      </c>
      <c r="I7" s="72">
        <f t="shared" si="1"/>
        <v>17.9</v>
      </c>
    </row>
    <row r="8">
      <c r="A8" s="96"/>
      <c r="B8" s="102" t="s">
        <v>217</v>
      </c>
      <c r="C8" s="103">
        <f>SUM(C3:C7)</f>
        <v>90</v>
      </c>
      <c r="D8" s="103">
        <f>SUM(D3:D7)*1.2</f>
        <v>30</v>
      </c>
      <c r="E8" s="103">
        <f>SUM(E3:E7)*1.5</f>
        <v>30</v>
      </c>
      <c r="F8" s="103">
        <f t="shared" ref="F8:G8" si="2">SUM(F3:F7)*2</f>
        <v>18</v>
      </c>
      <c r="G8" s="103">
        <f t="shared" si="2"/>
        <v>6</v>
      </c>
      <c r="H8" s="104">
        <f>SUM(H3:H7) *-1</f>
        <v>-9</v>
      </c>
      <c r="I8" s="105">
        <f>SUM(C8:H8)</f>
        <v>165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>
        <f>I17</f>
        <v>164.4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115</v>
      </c>
      <c r="C12" s="60">
        <v>17.0</v>
      </c>
      <c r="D12" s="60">
        <v>3.0</v>
      </c>
      <c r="E12" s="60">
        <v>4.0</v>
      </c>
      <c r="F12" s="60">
        <v>0.0</v>
      </c>
      <c r="G12" s="60">
        <v>1.0</v>
      </c>
      <c r="H12" s="71">
        <v>1.0</v>
      </c>
      <c r="I12" s="73">
        <f t="shared" ref="I12:I16" si="3">sum(C12+1.2*D12+1.5*E12+2*F12+2*G12)-H12</f>
        <v>27.6</v>
      </c>
    </row>
    <row r="13">
      <c r="A13" s="76" t="s">
        <v>215</v>
      </c>
      <c r="B13" s="76" t="s">
        <v>109</v>
      </c>
      <c r="C13" s="60">
        <v>7.0</v>
      </c>
      <c r="D13" s="60">
        <v>8.0</v>
      </c>
      <c r="E13" s="60">
        <v>2.0</v>
      </c>
      <c r="F13" s="60">
        <v>0.0</v>
      </c>
      <c r="G13" s="60">
        <v>0.0</v>
      </c>
      <c r="H13" s="71">
        <v>1.0</v>
      </c>
      <c r="I13" s="73">
        <f t="shared" si="3"/>
        <v>18.6</v>
      </c>
    </row>
    <row r="14">
      <c r="A14" s="76" t="s">
        <v>216</v>
      </c>
      <c r="B14" s="76" t="s">
        <v>69</v>
      </c>
      <c r="C14" s="60">
        <v>17.0</v>
      </c>
      <c r="D14" s="60">
        <v>14.0</v>
      </c>
      <c r="E14" s="60">
        <v>4.0</v>
      </c>
      <c r="F14" s="60">
        <v>1.0</v>
      </c>
      <c r="G14" s="60">
        <v>1.0</v>
      </c>
      <c r="H14" s="71">
        <v>0.0</v>
      </c>
      <c r="I14" s="73">
        <f t="shared" si="3"/>
        <v>43.8</v>
      </c>
    </row>
    <row r="15">
      <c r="A15" s="76" t="s">
        <v>216</v>
      </c>
      <c r="B15" s="76" t="s">
        <v>263</v>
      </c>
      <c r="C15" s="60">
        <v>26.0</v>
      </c>
      <c r="D15" s="60">
        <v>9.0</v>
      </c>
      <c r="E15" s="60">
        <v>1.0</v>
      </c>
      <c r="F15" s="60">
        <v>3.0</v>
      </c>
      <c r="G15" s="60">
        <v>0.0</v>
      </c>
      <c r="H15" s="71">
        <v>5.0</v>
      </c>
      <c r="I15" s="73">
        <f t="shared" si="3"/>
        <v>39.3</v>
      </c>
    </row>
    <row r="16">
      <c r="A16" s="76" t="s">
        <v>216</v>
      </c>
      <c r="B16" s="70" t="s">
        <v>54</v>
      </c>
      <c r="C16" s="77">
        <v>23.0</v>
      </c>
      <c r="D16" s="77">
        <v>3.0</v>
      </c>
      <c r="E16" s="77">
        <v>5.0</v>
      </c>
      <c r="F16" s="77">
        <v>1.0</v>
      </c>
      <c r="G16" s="77">
        <v>2.0</v>
      </c>
      <c r="H16" s="78">
        <v>5.0</v>
      </c>
      <c r="I16" s="73">
        <f t="shared" si="3"/>
        <v>35.1</v>
      </c>
    </row>
    <row r="17">
      <c r="A17" s="96"/>
      <c r="B17" s="102" t="s">
        <v>217</v>
      </c>
      <c r="C17" s="103">
        <f>SUM(C12:C16)</f>
        <v>90</v>
      </c>
      <c r="D17" s="103">
        <f>SUM(D12:D16)*1.2</f>
        <v>44.4</v>
      </c>
      <c r="E17" s="103">
        <f>SUM(E12:E16)*1.5</f>
        <v>24</v>
      </c>
      <c r="F17" s="103">
        <f t="shared" ref="F17:G17" si="4">SUM(F12:F16)*2</f>
        <v>10</v>
      </c>
      <c r="G17" s="103">
        <f t="shared" si="4"/>
        <v>8</v>
      </c>
      <c r="H17" s="104">
        <f>SUM(H12:H16) *-1</f>
        <v>-12</v>
      </c>
      <c r="I17" s="105">
        <f>SUM(C17:H17)</f>
        <v>164.4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>
        <f>I26</f>
        <v>177.4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74</v>
      </c>
      <c r="C21" s="60">
        <v>31.0</v>
      </c>
      <c r="D21" s="60">
        <v>6.0</v>
      </c>
      <c r="E21" s="60">
        <v>3.0</v>
      </c>
      <c r="F21" s="60">
        <v>1.0</v>
      </c>
      <c r="G21" s="60">
        <v>0.0</v>
      </c>
      <c r="H21" s="71">
        <v>4.0</v>
      </c>
      <c r="I21" s="73">
        <f t="shared" ref="I21:I25" si="5">sum(C21+1.2*D21+1.5*E21+2*F21+2*G21)-H21</f>
        <v>40.7</v>
      </c>
    </row>
    <row r="22">
      <c r="A22" s="76" t="s">
        <v>215</v>
      </c>
      <c r="B22" s="76" t="s">
        <v>43</v>
      </c>
      <c r="C22" s="60">
        <v>9.0</v>
      </c>
      <c r="D22" s="60">
        <v>2.0</v>
      </c>
      <c r="E22" s="60">
        <v>0.0</v>
      </c>
      <c r="F22" s="60">
        <v>0.0</v>
      </c>
      <c r="G22" s="60">
        <v>0.0</v>
      </c>
      <c r="H22" s="71">
        <v>4.0</v>
      </c>
      <c r="I22" s="73">
        <f t="shared" si="5"/>
        <v>7.4</v>
      </c>
    </row>
    <row r="23">
      <c r="A23" s="76" t="s">
        <v>216</v>
      </c>
      <c r="B23" s="76" t="s">
        <v>51</v>
      </c>
      <c r="C23" s="60">
        <v>36.0</v>
      </c>
      <c r="D23" s="60">
        <v>11.0</v>
      </c>
      <c r="E23" s="60">
        <v>4.0</v>
      </c>
      <c r="F23" s="60">
        <v>1.0</v>
      </c>
      <c r="G23" s="60">
        <v>1.0</v>
      </c>
      <c r="H23" s="71">
        <v>4.0</v>
      </c>
      <c r="I23" s="73">
        <f t="shared" si="5"/>
        <v>55.2</v>
      </c>
    </row>
    <row r="24">
      <c r="A24" s="76" t="s">
        <v>216</v>
      </c>
      <c r="B24" s="36" t="s">
        <v>56</v>
      </c>
      <c r="C24" s="60">
        <v>24.0</v>
      </c>
      <c r="D24" s="60">
        <v>9.0</v>
      </c>
      <c r="E24" s="60">
        <v>3.0</v>
      </c>
      <c r="F24" s="60">
        <v>2.0</v>
      </c>
      <c r="G24" s="60">
        <v>1.0</v>
      </c>
      <c r="H24" s="71">
        <v>1.0</v>
      </c>
      <c r="I24" s="73">
        <f t="shared" si="5"/>
        <v>44.3</v>
      </c>
    </row>
    <row r="25">
      <c r="A25" s="76" t="s">
        <v>216</v>
      </c>
      <c r="B25" s="76" t="s">
        <v>77</v>
      </c>
      <c r="C25" s="60">
        <v>8.0</v>
      </c>
      <c r="D25" s="60">
        <v>9.0</v>
      </c>
      <c r="E25" s="60">
        <v>6.0</v>
      </c>
      <c r="F25" s="60">
        <v>1.0</v>
      </c>
      <c r="G25" s="60">
        <v>1.0</v>
      </c>
      <c r="H25" s="71">
        <v>2.0</v>
      </c>
      <c r="I25" s="73">
        <f t="shared" si="5"/>
        <v>29.8</v>
      </c>
    </row>
    <row r="26">
      <c r="A26" s="96"/>
      <c r="B26" s="108" t="s">
        <v>217</v>
      </c>
      <c r="C26" s="109">
        <f>SUM(C21:C25)</f>
        <v>108</v>
      </c>
      <c r="D26" s="109">
        <f>SUM(D21:D25)*1.2</f>
        <v>44.4</v>
      </c>
      <c r="E26" s="109">
        <f>SUM(E21:E25)*1.5</f>
        <v>24</v>
      </c>
      <c r="F26" s="109">
        <f t="shared" ref="F26:G26" si="6">SUM(F21:F25)*2</f>
        <v>10</v>
      </c>
      <c r="G26" s="109">
        <f t="shared" si="6"/>
        <v>6</v>
      </c>
      <c r="H26" s="109">
        <f>SUM(H21:H25) *-1</f>
        <v>-15</v>
      </c>
      <c r="I26" s="110">
        <f>SUM(C26:H26)</f>
        <v>177.4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>
        <f>I35</f>
        <v>177.3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87</v>
      </c>
      <c r="C30" s="60">
        <v>30.0</v>
      </c>
      <c r="D30" s="60">
        <v>5.0</v>
      </c>
      <c r="E30" s="60">
        <v>4.0</v>
      </c>
      <c r="F30" s="60">
        <v>4.0</v>
      </c>
      <c r="G30" s="60">
        <v>0.0</v>
      </c>
      <c r="H30" s="71">
        <v>2.0</v>
      </c>
      <c r="I30" s="73">
        <f t="shared" ref="I30:I34" si="7">sum(C30+1.2*D30+1.5*E30+2*F30+2*G30)-H30</f>
        <v>48</v>
      </c>
    </row>
    <row r="31">
      <c r="A31" s="76" t="s">
        <v>215</v>
      </c>
      <c r="B31" s="76" t="s">
        <v>44</v>
      </c>
      <c r="C31" s="60">
        <v>27.0</v>
      </c>
      <c r="D31" s="60">
        <v>3.0</v>
      </c>
      <c r="E31" s="60">
        <v>5.0</v>
      </c>
      <c r="F31" s="60">
        <v>1.0</v>
      </c>
      <c r="G31" s="60">
        <v>0.0</v>
      </c>
      <c r="H31" s="71">
        <v>2.0</v>
      </c>
      <c r="I31" s="73">
        <f t="shared" si="7"/>
        <v>38.1</v>
      </c>
    </row>
    <row r="32">
      <c r="A32" s="76" t="s">
        <v>216</v>
      </c>
      <c r="B32" s="36" t="s">
        <v>98</v>
      </c>
      <c r="C32" s="60">
        <v>16.0</v>
      </c>
      <c r="D32" s="60">
        <v>5.0</v>
      </c>
      <c r="E32" s="60">
        <v>2.0</v>
      </c>
      <c r="F32" s="60">
        <v>2.0</v>
      </c>
      <c r="G32" s="60">
        <v>0.0</v>
      </c>
      <c r="H32" s="71">
        <v>1.0</v>
      </c>
      <c r="I32" s="73">
        <f t="shared" si="7"/>
        <v>28</v>
      </c>
    </row>
    <row r="33">
      <c r="A33" s="76" t="s">
        <v>216</v>
      </c>
      <c r="B33" s="76" t="s">
        <v>264</v>
      </c>
      <c r="C33" s="60">
        <v>5.0</v>
      </c>
      <c r="D33" s="60">
        <v>6.0</v>
      </c>
      <c r="E33" s="60">
        <v>2.0</v>
      </c>
      <c r="F33" s="60">
        <v>4.0</v>
      </c>
      <c r="G33" s="60">
        <v>1.0</v>
      </c>
      <c r="H33" s="71">
        <v>2.0</v>
      </c>
      <c r="I33" s="73">
        <f t="shared" si="7"/>
        <v>23.2</v>
      </c>
    </row>
    <row r="34">
      <c r="A34" s="76" t="s">
        <v>216</v>
      </c>
      <c r="B34" s="70" t="s">
        <v>101</v>
      </c>
      <c r="C34" s="60">
        <v>19.0</v>
      </c>
      <c r="D34" s="60">
        <v>10.0</v>
      </c>
      <c r="E34" s="60">
        <v>2.0</v>
      </c>
      <c r="F34" s="60">
        <v>1.0</v>
      </c>
      <c r="G34" s="60">
        <v>2.0</v>
      </c>
      <c r="H34" s="71">
        <v>0.0</v>
      </c>
      <c r="I34" s="73">
        <f t="shared" si="7"/>
        <v>40</v>
      </c>
    </row>
    <row r="35">
      <c r="A35" s="96"/>
      <c r="B35" s="108" t="s">
        <v>217</v>
      </c>
      <c r="C35" s="109">
        <f>SUM(C30:C34)</f>
        <v>97</v>
      </c>
      <c r="D35" s="109">
        <f>SUM(D30:D34)*1.2</f>
        <v>34.8</v>
      </c>
      <c r="E35" s="109">
        <f>SUM(E30:E34)*1.5</f>
        <v>22.5</v>
      </c>
      <c r="F35" s="109">
        <f t="shared" ref="F35:G35" si="8">SUM(F30:F34)*2</f>
        <v>24</v>
      </c>
      <c r="G35" s="109">
        <f t="shared" si="8"/>
        <v>6</v>
      </c>
      <c r="H35" s="109">
        <f>SUM(H30:H34) *-1</f>
        <v>-7</v>
      </c>
      <c r="I35" s="110">
        <f>SUM(C35:H35)</f>
        <v>177.3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>
        <f>I8</f>
        <v>226.1</v>
      </c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84</v>
      </c>
      <c r="C3" s="60">
        <v>34.0</v>
      </c>
      <c r="D3" s="60">
        <v>2.0</v>
      </c>
      <c r="E3" s="60">
        <v>8.0</v>
      </c>
      <c r="F3" s="60">
        <v>0.0</v>
      </c>
      <c r="G3" s="60">
        <v>0.0</v>
      </c>
      <c r="H3" s="71">
        <v>1.0</v>
      </c>
      <c r="I3" s="72">
        <f t="shared" ref="I3:I7" si="1">sum(C3+1.2*D3+1.5*E3+2*F3+2*G3)-H3</f>
        <v>47.4</v>
      </c>
    </row>
    <row r="4">
      <c r="A4" s="76" t="s">
        <v>215</v>
      </c>
      <c r="B4" s="76" t="s">
        <v>96</v>
      </c>
      <c r="C4" s="60">
        <v>16.0</v>
      </c>
      <c r="D4" s="60">
        <v>3.0</v>
      </c>
      <c r="E4" s="60">
        <v>3.0</v>
      </c>
      <c r="F4" s="60">
        <v>0.0</v>
      </c>
      <c r="G4" s="60">
        <v>0.0</v>
      </c>
      <c r="H4" s="71">
        <v>2.0</v>
      </c>
      <c r="I4" s="72">
        <f t="shared" si="1"/>
        <v>22.1</v>
      </c>
    </row>
    <row r="5">
      <c r="A5" s="76" t="s">
        <v>216</v>
      </c>
      <c r="B5" s="70" t="s">
        <v>66</v>
      </c>
      <c r="C5" s="60">
        <v>29.0</v>
      </c>
      <c r="D5" s="60">
        <v>9.0</v>
      </c>
      <c r="E5" s="60">
        <v>12.0</v>
      </c>
      <c r="F5" s="60">
        <v>3.0</v>
      </c>
      <c r="G5" s="60">
        <v>1.0</v>
      </c>
      <c r="H5" s="71">
        <v>2.0</v>
      </c>
      <c r="I5" s="72">
        <f t="shared" si="1"/>
        <v>63.8</v>
      </c>
    </row>
    <row r="6">
      <c r="A6" s="76" t="s">
        <v>216</v>
      </c>
      <c r="B6" s="76" t="s">
        <v>70</v>
      </c>
      <c r="C6" s="60">
        <v>23.0</v>
      </c>
      <c r="D6" s="60">
        <v>11.0</v>
      </c>
      <c r="E6" s="60">
        <v>5.0</v>
      </c>
      <c r="F6" s="60">
        <v>4.0</v>
      </c>
      <c r="G6" s="60">
        <v>2.0</v>
      </c>
      <c r="H6" s="71">
        <v>0.0</v>
      </c>
      <c r="I6" s="72">
        <f t="shared" si="1"/>
        <v>55.7</v>
      </c>
    </row>
    <row r="7">
      <c r="A7" s="76" t="s">
        <v>216</v>
      </c>
      <c r="B7" s="36" t="s">
        <v>58</v>
      </c>
      <c r="C7" s="77">
        <v>25.0</v>
      </c>
      <c r="D7" s="77">
        <v>8.0</v>
      </c>
      <c r="E7" s="77">
        <v>1.0</v>
      </c>
      <c r="F7" s="77">
        <v>2.0</v>
      </c>
      <c r="G7" s="77">
        <v>0.0</v>
      </c>
      <c r="H7" s="78">
        <v>3.0</v>
      </c>
      <c r="I7" s="72">
        <f t="shared" si="1"/>
        <v>37.1</v>
      </c>
    </row>
    <row r="8">
      <c r="A8" s="96"/>
      <c r="B8" s="102" t="s">
        <v>217</v>
      </c>
      <c r="C8" s="103">
        <f>SUM(C3:C7)</f>
        <v>127</v>
      </c>
      <c r="D8" s="103">
        <f>SUM(D3:D7)*1.2</f>
        <v>39.6</v>
      </c>
      <c r="E8" s="103">
        <f>SUM(E3:E7)*1.5</f>
        <v>43.5</v>
      </c>
      <c r="F8" s="103">
        <f t="shared" ref="F8:G8" si="2">SUM(F3:F7)*2</f>
        <v>18</v>
      </c>
      <c r="G8" s="103">
        <f t="shared" si="2"/>
        <v>6</v>
      </c>
      <c r="H8" s="104">
        <f>SUM(H3:H7) *-1</f>
        <v>-8</v>
      </c>
      <c r="I8" s="105">
        <f>SUM(C8:H8)</f>
        <v>226.1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>
        <f>I17</f>
        <v>177.3</v>
      </c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79</v>
      </c>
      <c r="C12" s="60">
        <v>37.0</v>
      </c>
      <c r="D12" s="60">
        <v>8.0</v>
      </c>
      <c r="E12" s="60">
        <v>1.0</v>
      </c>
      <c r="F12" s="60">
        <v>2.0</v>
      </c>
      <c r="G12" s="60">
        <v>0.0</v>
      </c>
      <c r="H12" s="71">
        <v>5.0</v>
      </c>
      <c r="I12" s="73">
        <f t="shared" ref="I12:I16" si="3">sum(C12+1.2*D12+1.5*E12+2*F12+2*G12)-H12</f>
        <v>47.1</v>
      </c>
    </row>
    <row r="13">
      <c r="A13" s="76" t="s">
        <v>215</v>
      </c>
      <c r="B13" s="76" t="s">
        <v>92</v>
      </c>
      <c r="C13" s="60">
        <v>10.0</v>
      </c>
      <c r="D13" s="60">
        <v>7.0</v>
      </c>
      <c r="E13" s="60">
        <v>12.0</v>
      </c>
      <c r="F13" s="60">
        <v>0.0</v>
      </c>
      <c r="G13" s="60">
        <v>0.0</v>
      </c>
      <c r="H13" s="71">
        <v>1.0</v>
      </c>
      <c r="I13" s="73">
        <f t="shared" si="3"/>
        <v>35.4</v>
      </c>
    </row>
    <row r="14">
      <c r="A14" s="76" t="s">
        <v>216</v>
      </c>
      <c r="B14" s="76" t="s">
        <v>50</v>
      </c>
      <c r="C14" s="60">
        <v>22.0</v>
      </c>
      <c r="D14" s="60">
        <v>6.0</v>
      </c>
      <c r="E14" s="60">
        <v>2.0</v>
      </c>
      <c r="F14" s="60">
        <v>3.0</v>
      </c>
      <c r="G14" s="60">
        <v>0.0</v>
      </c>
      <c r="H14" s="71">
        <v>7.0</v>
      </c>
      <c r="I14" s="73">
        <f t="shared" si="3"/>
        <v>31.2</v>
      </c>
    </row>
    <row r="15">
      <c r="A15" s="76" t="s">
        <v>216</v>
      </c>
      <c r="B15" s="76" t="s">
        <v>111</v>
      </c>
      <c r="C15" s="60">
        <v>25.0</v>
      </c>
      <c r="D15" s="60">
        <v>7.0</v>
      </c>
      <c r="E15" s="60">
        <v>1.0</v>
      </c>
      <c r="F15" s="60">
        <v>1.0</v>
      </c>
      <c r="G15" s="60">
        <v>1.0</v>
      </c>
      <c r="H15" s="71">
        <v>1.0</v>
      </c>
      <c r="I15" s="73">
        <f t="shared" si="3"/>
        <v>37.9</v>
      </c>
    </row>
    <row r="16">
      <c r="A16" s="76" t="s">
        <v>216</v>
      </c>
      <c r="B16" s="70" t="s">
        <v>265</v>
      </c>
      <c r="C16" s="77">
        <v>7.0</v>
      </c>
      <c r="D16" s="77">
        <v>6.0</v>
      </c>
      <c r="E16" s="77">
        <v>3.0</v>
      </c>
      <c r="F16" s="77">
        <v>1.0</v>
      </c>
      <c r="G16" s="77">
        <v>3.0</v>
      </c>
      <c r="H16" s="78">
        <v>1.0</v>
      </c>
      <c r="I16" s="73">
        <f t="shared" si="3"/>
        <v>25.7</v>
      </c>
    </row>
    <row r="17">
      <c r="A17" s="96"/>
      <c r="B17" s="102" t="s">
        <v>217</v>
      </c>
      <c r="C17" s="103">
        <f>SUM(C12:C16)</f>
        <v>101</v>
      </c>
      <c r="D17" s="103">
        <f>SUM(D12:D16)*1.2</f>
        <v>40.8</v>
      </c>
      <c r="E17" s="103">
        <f>SUM(E12:E16)*1.5</f>
        <v>28.5</v>
      </c>
      <c r="F17" s="103">
        <f t="shared" ref="F17:G17" si="4">SUM(F12:F16)*2</f>
        <v>14</v>
      </c>
      <c r="G17" s="103">
        <f t="shared" si="4"/>
        <v>8</v>
      </c>
      <c r="H17" s="104">
        <f>SUM(H12:H16) *-1</f>
        <v>-15</v>
      </c>
      <c r="I17" s="105">
        <f>SUM(C17:H17)</f>
        <v>177.3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118">
        <f>I26</f>
        <v>201.4</v>
      </c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90</v>
      </c>
      <c r="C21" s="60">
        <v>32.0</v>
      </c>
      <c r="D21" s="60">
        <v>6.0</v>
      </c>
      <c r="E21" s="60">
        <v>11.0</v>
      </c>
      <c r="F21" s="60">
        <v>0.0</v>
      </c>
      <c r="G21" s="60">
        <v>1.0</v>
      </c>
      <c r="H21" s="71">
        <v>2.0</v>
      </c>
      <c r="I21" s="73">
        <f>sum(C21+1.2*D21+1.5*E21+2*F21+2*G21)-H21</f>
        <v>55.7</v>
      </c>
    </row>
    <row r="22">
      <c r="A22" s="76" t="s">
        <v>215</v>
      </c>
      <c r="B22" s="36" t="s">
        <v>75</v>
      </c>
      <c r="C22" s="60">
        <v>21.0</v>
      </c>
      <c r="D22" s="60">
        <v>6.0</v>
      </c>
      <c r="E22" s="60">
        <v>12.0</v>
      </c>
      <c r="F22" s="60">
        <v>0.0</v>
      </c>
      <c r="G22" s="60">
        <v>0.0</v>
      </c>
      <c r="H22" s="71">
        <v>6.0</v>
      </c>
      <c r="I22" s="73">
        <f>sum(C24+1.2*D24+1.5*E24+2*F24+2*G24)-H24</f>
        <v>30.4</v>
      </c>
    </row>
    <row r="23">
      <c r="A23" s="76" t="s">
        <v>216</v>
      </c>
      <c r="B23" s="76" t="s">
        <v>71</v>
      </c>
      <c r="C23" s="60">
        <v>19.0</v>
      </c>
      <c r="D23" s="60">
        <v>5.0</v>
      </c>
      <c r="E23" s="60">
        <v>3.0</v>
      </c>
      <c r="F23" s="60">
        <v>2.0</v>
      </c>
      <c r="G23" s="60">
        <v>3.0</v>
      </c>
      <c r="H23" s="71">
        <v>4.0</v>
      </c>
      <c r="I23" s="73">
        <f>sum(C23+1.2*D23+1.5*E23+2*F23+2*G23)-H23</f>
        <v>35.5</v>
      </c>
    </row>
    <row r="24">
      <c r="A24" s="76" t="s">
        <v>216</v>
      </c>
      <c r="B24" s="76" t="s">
        <v>89</v>
      </c>
      <c r="C24" s="60">
        <v>13.0</v>
      </c>
      <c r="D24" s="60">
        <v>7.0</v>
      </c>
      <c r="E24" s="60">
        <v>6.0</v>
      </c>
      <c r="F24" s="60">
        <v>0.0</v>
      </c>
      <c r="G24" s="60">
        <v>1.0</v>
      </c>
      <c r="H24" s="71">
        <v>2.0</v>
      </c>
      <c r="I24" s="73">
        <f>sum(C22+1.2*D22+1.5*E22+2*F22+2*G22)-H22</f>
        <v>40.2</v>
      </c>
    </row>
    <row r="25">
      <c r="A25" s="76" t="s">
        <v>216</v>
      </c>
      <c r="B25" s="76" t="s">
        <v>99</v>
      </c>
      <c r="C25" s="60">
        <v>21.0</v>
      </c>
      <c r="D25" s="60">
        <v>13.0</v>
      </c>
      <c r="E25" s="60">
        <v>2.0</v>
      </c>
      <c r="F25" s="60">
        <v>1.0</v>
      </c>
      <c r="G25" s="60">
        <v>0.0</v>
      </c>
      <c r="H25" s="71">
        <v>2.0</v>
      </c>
      <c r="I25" s="73">
        <f>sum(C25+1.2*D25+1.5*E25+2*F25+2*G25)-H25</f>
        <v>39.6</v>
      </c>
    </row>
    <row r="26">
      <c r="A26" s="96"/>
      <c r="B26" s="108" t="s">
        <v>217</v>
      </c>
      <c r="C26" s="109">
        <f>SUM(C21:C25)</f>
        <v>106</v>
      </c>
      <c r="D26" s="109">
        <f>SUM(D21:D25)*1.2</f>
        <v>44.4</v>
      </c>
      <c r="E26" s="109">
        <f>SUM(E21:E25)*1.5</f>
        <v>51</v>
      </c>
      <c r="F26" s="109">
        <f t="shared" ref="F26:G26" si="5">SUM(F21:F25)*2</f>
        <v>6</v>
      </c>
      <c r="G26" s="109">
        <f t="shared" si="5"/>
        <v>10</v>
      </c>
      <c r="H26" s="109">
        <f>SUM(H21:H25) *-1</f>
        <v>-16</v>
      </c>
      <c r="I26" s="110">
        <f>SUM(C26:H26)</f>
        <v>201.4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>
        <f>I35</f>
        <v>200.8</v>
      </c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78</v>
      </c>
      <c r="C30" s="60">
        <v>22.0</v>
      </c>
      <c r="D30" s="60">
        <v>8.0</v>
      </c>
      <c r="E30" s="60">
        <v>9.0</v>
      </c>
      <c r="F30" s="60">
        <v>1.0</v>
      </c>
      <c r="G30" s="60">
        <v>0.0</v>
      </c>
      <c r="H30" s="71">
        <v>1.0</v>
      </c>
      <c r="I30" s="73">
        <f t="shared" ref="I30:I34" si="6">sum(C30+1.2*D30+1.5*E30+2*F30+2*G30)-H30</f>
        <v>46.1</v>
      </c>
    </row>
    <row r="31">
      <c r="A31" s="76" t="s">
        <v>215</v>
      </c>
      <c r="B31" s="76" t="s">
        <v>72</v>
      </c>
      <c r="C31" s="60">
        <v>21.0</v>
      </c>
      <c r="D31" s="60">
        <v>9.0</v>
      </c>
      <c r="E31" s="60">
        <v>7.0</v>
      </c>
      <c r="F31" s="60">
        <v>1.0</v>
      </c>
      <c r="G31" s="60">
        <v>0.0</v>
      </c>
      <c r="H31" s="71">
        <v>3.0</v>
      </c>
      <c r="I31" s="73">
        <f t="shared" si="6"/>
        <v>41.3</v>
      </c>
    </row>
    <row r="32">
      <c r="A32" s="76" t="s">
        <v>216</v>
      </c>
      <c r="B32" s="36" t="s">
        <v>64</v>
      </c>
      <c r="C32" s="60">
        <v>36.0</v>
      </c>
      <c r="D32" s="60">
        <v>12.0</v>
      </c>
      <c r="E32" s="60">
        <v>1.0</v>
      </c>
      <c r="F32" s="60">
        <v>1.0</v>
      </c>
      <c r="G32" s="60">
        <v>2.0</v>
      </c>
      <c r="H32" s="71">
        <v>5.0</v>
      </c>
      <c r="I32" s="73">
        <f t="shared" si="6"/>
        <v>52.9</v>
      </c>
    </row>
    <row r="33">
      <c r="A33" s="76" t="s">
        <v>216</v>
      </c>
      <c r="B33" s="76" t="s">
        <v>114</v>
      </c>
      <c r="C33" s="60">
        <v>19.0</v>
      </c>
      <c r="D33" s="60">
        <v>5.0</v>
      </c>
      <c r="E33" s="60">
        <v>2.0</v>
      </c>
      <c r="F33" s="60">
        <v>1.0</v>
      </c>
      <c r="G33" s="60">
        <v>4.0</v>
      </c>
      <c r="H33" s="71">
        <v>0.0</v>
      </c>
      <c r="I33" s="73">
        <f t="shared" si="6"/>
        <v>38</v>
      </c>
    </row>
    <row r="34">
      <c r="A34" s="76" t="s">
        <v>216</v>
      </c>
      <c r="B34" s="70" t="s">
        <v>88</v>
      </c>
      <c r="C34" s="60">
        <v>16.0</v>
      </c>
      <c r="D34" s="60">
        <v>5.0</v>
      </c>
      <c r="E34" s="60">
        <v>5.0</v>
      </c>
      <c r="F34" s="60">
        <v>0.0</v>
      </c>
      <c r="G34" s="60">
        <v>0.0</v>
      </c>
      <c r="H34" s="71">
        <v>7.0</v>
      </c>
      <c r="I34" s="73">
        <f t="shared" si="6"/>
        <v>22.5</v>
      </c>
    </row>
    <row r="35">
      <c r="A35" s="96"/>
      <c r="B35" s="108" t="s">
        <v>217</v>
      </c>
      <c r="C35" s="109">
        <f>SUM(C30:C34)</f>
        <v>114</v>
      </c>
      <c r="D35" s="109">
        <f>SUM(D30:D34)*1.2</f>
        <v>46.8</v>
      </c>
      <c r="E35" s="109">
        <f>SUM(E30:E34)*1.5</f>
        <v>36</v>
      </c>
      <c r="F35" s="109">
        <f t="shared" ref="F35:G35" si="7">SUM(F30:F34)*2</f>
        <v>8</v>
      </c>
      <c r="G35" s="109">
        <f t="shared" si="7"/>
        <v>12</v>
      </c>
      <c r="H35" s="109">
        <f>SUM(H30:H34) *-1</f>
        <v>-16</v>
      </c>
      <c r="I35" s="110">
        <f>SUM(C35:H35)</f>
        <v>200.8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52" t="s">
        <v>15</v>
      </c>
      <c r="B1" s="52" t="s">
        <v>16</v>
      </c>
      <c r="C1" s="52" t="s">
        <v>266</v>
      </c>
      <c r="D1" s="119" t="s">
        <v>267</v>
      </c>
      <c r="E1" s="120"/>
    </row>
    <row r="2">
      <c r="A2" s="36" t="s">
        <v>268</v>
      </c>
      <c r="B2" s="36">
        <v>2.0</v>
      </c>
      <c r="C2" s="26"/>
      <c r="D2" s="121" t="s">
        <v>269</v>
      </c>
    </row>
    <row r="3">
      <c r="A3" s="36" t="s">
        <v>12</v>
      </c>
      <c r="D3" s="121" t="s">
        <v>270</v>
      </c>
    </row>
    <row r="4">
      <c r="A4" s="36" t="s">
        <v>11</v>
      </c>
      <c r="B4" s="36">
        <v>2.0</v>
      </c>
      <c r="D4" s="121" t="s">
        <v>271</v>
      </c>
    </row>
    <row r="5">
      <c r="A5" s="36" t="s">
        <v>13</v>
      </c>
      <c r="B5" s="36">
        <v>1.0</v>
      </c>
      <c r="D5" s="121" t="s">
        <v>272</v>
      </c>
    </row>
    <row r="6">
      <c r="D6" s="122"/>
    </row>
    <row r="7">
      <c r="D7" s="122"/>
    </row>
    <row r="8">
      <c r="D8" s="122"/>
    </row>
    <row r="9">
      <c r="D9" s="122"/>
    </row>
    <row r="10">
      <c r="A10" s="52" t="s">
        <v>57</v>
      </c>
      <c r="B10" s="52" t="s">
        <v>273</v>
      </c>
      <c r="C10" s="52" t="s">
        <v>59</v>
      </c>
      <c r="D10" s="121" t="s">
        <v>274</v>
      </c>
      <c r="E10" s="120"/>
    </row>
    <row r="11">
      <c r="A11" s="80" t="s">
        <v>84</v>
      </c>
      <c r="B11" s="36">
        <v>2.0</v>
      </c>
      <c r="C11" s="21">
        <f>AVERAGE('41925'!I3, '42125'!I21)</f>
        <v>48.25</v>
      </c>
      <c r="D11" s="121" t="s">
        <v>275</v>
      </c>
    </row>
    <row r="12">
      <c r="A12" s="57" t="s">
        <v>96</v>
      </c>
      <c r="B12" s="36">
        <v>2.0</v>
      </c>
      <c r="D12" s="121" t="s">
        <v>276</v>
      </c>
    </row>
    <row r="13">
      <c r="A13" s="123" t="s">
        <v>66</v>
      </c>
      <c r="D13" s="121" t="s">
        <v>277</v>
      </c>
    </row>
    <row r="14">
      <c r="A14" s="57" t="s">
        <v>70</v>
      </c>
      <c r="D14" s="121" t="s">
        <v>278</v>
      </c>
    </row>
    <row r="15">
      <c r="A15" s="80" t="s">
        <v>58</v>
      </c>
      <c r="D15" s="121" t="s">
        <v>279</v>
      </c>
    </row>
    <row r="16">
      <c r="A16" s="57" t="s">
        <v>79</v>
      </c>
      <c r="D16" s="121" t="s">
        <v>280</v>
      </c>
    </row>
    <row r="17">
      <c r="A17" s="57" t="s">
        <v>92</v>
      </c>
      <c r="D17" s="121" t="s">
        <v>281</v>
      </c>
    </row>
    <row r="18">
      <c r="A18" s="57" t="s">
        <v>50</v>
      </c>
      <c r="D18" s="121" t="s">
        <v>282</v>
      </c>
    </row>
    <row r="19">
      <c r="A19" s="57" t="s">
        <v>111</v>
      </c>
      <c r="D19" s="121" t="s">
        <v>283</v>
      </c>
    </row>
    <row r="20">
      <c r="A20" s="123" t="s">
        <v>265</v>
      </c>
      <c r="D20" s="121" t="s">
        <v>284</v>
      </c>
    </row>
    <row r="21">
      <c r="A21" s="57" t="s">
        <v>90</v>
      </c>
      <c r="D21" s="121" t="s">
        <v>285</v>
      </c>
    </row>
    <row r="22">
      <c r="A22" s="80" t="s">
        <v>75</v>
      </c>
      <c r="D22" s="121" t="s">
        <v>286</v>
      </c>
    </row>
    <row r="23">
      <c r="A23" s="57" t="s">
        <v>71</v>
      </c>
      <c r="D23" s="121" t="s">
        <v>287</v>
      </c>
    </row>
    <row r="24">
      <c r="A24" s="57" t="s">
        <v>89</v>
      </c>
      <c r="D24" s="121" t="s">
        <v>288</v>
      </c>
    </row>
    <row r="25">
      <c r="A25" s="57" t="s">
        <v>99</v>
      </c>
      <c r="D25" s="121" t="s">
        <v>289</v>
      </c>
    </row>
    <row r="26">
      <c r="A26" s="57" t="s">
        <v>78</v>
      </c>
      <c r="D26" s="121" t="s">
        <v>290</v>
      </c>
    </row>
    <row r="27">
      <c r="A27" s="57" t="s">
        <v>72</v>
      </c>
      <c r="D27" s="121" t="s">
        <v>291</v>
      </c>
    </row>
    <row r="28">
      <c r="A28" s="80" t="s">
        <v>64</v>
      </c>
      <c r="D28" s="121" t="s">
        <v>292</v>
      </c>
    </row>
    <row r="29">
      <c r="A29" s="57" t="s">
        <v>114</v>
      </c>
      <c r="D29" s="121" t="s">
        <v>293</v>
      </c>
    </row>
    <row r="30">
      <c r="A30" s="123" t="s">
        <v>88</v>
      </c>
      <c r="D30" s="121" t="s">
        <v>294</v>
      </c>
    </row>
    <row r="31">
      <c r="A31" s="80" t="s">
        <v>73</v>
      </c>
      <c r="D31" s="121" t="s">
        <v>295</v>
      </c>
    </row>
    <row r="32">
      <c r="A32" s="57" t="s">
        <v>47</v>
      </c>
      <c r="D32" s="121" t="s">
        <v>296</v>
      </c>
    </row>
    <row r="33">
      <c r="A33" s="123" t="s">
        <v>76</v>
      </c>
      <c r="D33" s="121" t="s">
        <v>297</v>
      </c>
    </row>
    <row r="34">
      <c r="A34" s="57" t="s">
        <v>80</v>
      </c>
      <c r="D34" s="121" t="s">
        <v>298</v>
      </c>
    </row>
    <row r="35">
      <c r="A35" s="80" t="s">
        <v>91</v>
      </c>
      <c r="D35" s="121" t="s">
        <v>299</v>
      </c>
    </row>
    <row r="36">
      <c r="A36" s="57" t="s">
        <v>115</v>
      </c>
      <c r="D36" s="121" t="s">
        <v>300</v>
      </c>
    </row>
    <row r="37">
      <c r="A37" s="57" t="s">
        <v>109</v>
      </c>
      <c r="D37" s="121" t="s">
        <v>301</v>
      </c>
    </row>
    <row r="38">
      <c r="A38" s="57" t="s">
        <v>69</v>
      </c>
      <c r="D38" s="121" t="s">
        <v>302</v>
      </c>
    </row>
    <row r="39">
      <c r="A39" s="57" t="s">
        <v>263</v>
      </c>
      <c r="D39" s="121" t="s">
        <v>303</v>
      </c>
    </row>
    <row r="40">
      <c r="A40" s="123" t="s">
        <v>54</v>
      </c>
      <c r="D40" s="121" t="s">
        <v>304</v>
      </c>
    </row>
    <row r="41">
      <c r="A41" s="57" t="s">
        <v>74</v>
      </c>
      <c r="D41" s="121" t="s">
        <v>305</v>
      </c>
    </row>
    <row r="42">
      <c r="A42" s="57" t="s">
        <v>43</v>
      </c>
      <c r="D42" s="121" t="s">
        <v>306</v>
      </c>
    </row>
    <row r="43">
      <c r="A43" s="57" t="s">
        <v>51</v>
      </c>
      <c r="D43" s="121" t="s">
        <v>307</v>
      </c>
    </row>
    <row r="44">
      <c r="A44" s="80" t="s">
        <v>56</v>
      </c>
      <c r="D44" s="121" t="s">
        <v>308</v>
      </c>
    </row>
    <row r="45">
      <c r="A45" s="57" t="s">
        <v>77</v>
      </c>
      <c r="D45" s="121" t="s">
        <v>309</v>
      </c>
    </row>
    <row r="46">
      <c r="A46" s="57" t="s">
        <v>87</v>
      </c>
      <c r="D46" s="121" t="s">
        <v>310</v>
      </c>
    </row>
    <row r="47">
      <c r="A47" s="57" t="s">
        <v>44</v>
      </c>
      <c r="D47" s="121" t="s">
        <v>311</v>
      </c>
    </row>
    <row r="48">
      <c r="A48" s="80" t="s">
        <v>98</v>
      </c>
      <c r="D48" s="121" t="s">
        <v>312</v>
      </c>
    </row>
    <row r="49">
      <c r="A49" s="57" t="s">
        <v>264</v>
      </c>
      <c r="D49" s="121" t="s">
        <v>313</v>
      </c>
    </row>
    <row r="50">
      <c r="A50" s="123" t="s">
        <v>101</v>
      </c>
      <c r="D50" s="121" t="s">
        <v>314</v>
      </c>
    </row>
    <row r="51">
      <c r="A51" s="80" t="s">
        <v>72</v>
      </c>
      <c r="D51" s="121" t="s">
        <v>315</v>
      </c>
    </row>
    <row r="52">
      <c r="A52" s="57" t="s">
        <v>137</v>
      </c>
      <c r="D52" s="121" t="s">
        <v>316</v>
      </c>
    </row>
    <row r="53">
      <c r="A53" s="123" t="s">
        <v>66</v>
      </c>
      <c r="D53" s="121" t="s">
        <v>317</v>
      </c>
    </row>
    <row r="54">
      <c r="A54" s="57" t="s">
        <v>82</v>
      </c>
      <c r="D54" s="121" t="s">
        <v>318</v>
      </c>
    </row>
    <row r="55">
      <c r="A55" s="80" t="s">
        <v>95</v>
      </c>
      <c r="D55" s="121" t="s">
        <v>319</v>
      </c>
    </row>
    <row r="56">
      <c r="A56" s="57" t="s">
        <v>90</v>
      </c>
      <c r="D56" s="121" t="s">
        <v>320</v>
      </c>
    </row>
    <row r="57">
      <c r="A57" s="57" t="s">
        <v>100</v>
      </c>
      <c r="D57" s="121" t="s">
        <v>321</v>
      </c>
    </row>
    <row r="58">
      <c r="A58" s="57" t="s">
        <v>99</v>
      </c>
      <c r="D58" s="121" t="s">
        <v>322</v>
      </c>
    </row>
    <row r="59">
      <c r="A59" s="57" t="s">
        <v>89</v>
      </c>
      <c r="D59" s="121" t="s">
        <v>323</v>
      </c>
    </row>
    <row r="60">
      <c r="A60" s="123" t="s">
        <v>85</v>
      </c>
      <c r="D60" s="121" t="s">
        <v>324</v>
      </c>
    </row>
    <row r="61">
      <c r="A61" s="57"/>
      <c r="D61" s="122"/>
    </row>
    <row r="62">
      <c r="A62" s="124" t="s">
        <v>97</v>
      </c>
      <c r="D62" s="121" t="s">
        <v>325</v>
      </c>
    </row>
    <row r="63">
      <c r="A63" s="57" t="s">
        <v>50</v>
      </c>
      <c r="D63" s="121" t="s">
        <v>326</v>
      </c>
    </row>
    <row r="64">
      <c r="A64" s="80"/>
      <c r="D64" s="122"/>
    </row>
    <row r="65">
      <c r="A65" s="57" t="s">
        <v>124</v>
      </c>
      <c r="D65" s="121" t="s">
        <v>327</v>
      </c>
    </row>
    <row r="66">
      <c r="A66" s="57" t="s">
        <v>75</v>
      </c>
      <c r="D66" s="121" t="s">
        <v>328</v>
      </c>
    </row>
    <row r="67">
      <c r="A67" s="57" t="s">
        <v>139</v>
      </c>
      <c r="D67" s="121" t="s">
        <v>329</v>
      </c>
    </row>
    <row r="68">
      <c r="A68" s="80" t="s">
        <v>70</v>
      </c>
      <c r="D68" s="121" t="s">
        <v>330</v>
      </c>
    </row>
    <row r="69">
      <c r="A69" s="57" t="s">
        <v>128</v>
      </c>
      <c r="D69" s="121" t="s">
        <v>331</v>
      </c>
    </row>
    <row r="70">
      <c r="A70" s="123" t="s">
        <v>108</v>
      </c>
      <c r="D70" s="121" t="s">
        <v>332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28.0</v>
      </c>
      <c r="D3" s="60">
        <v>15.0</v>
      </c>
      <c r="E3" s="60">
        <v>9.0</v>
      </c>
      <c r="F3" s="60">
        <v>1.0</v>
      </c>
      <c r="G3" s="60">
        <v>0.0</v>
      </c>
      <c r="H3" s="71">
        <v>3.0</v>
      </c>
      <c r="I3" s="72">
        <f t="shared" ref="I3:I7" si="1">sum(C3+1.2*D3+1.5*E3+2*F3+2*G3)-H3</f>
        <v>58.5</v>
      </c>
    </row>
    <row r="4">
      <c r="A4" s="76" t="s">
        <v>215</v>
      </c>
      <c r="B4" s="76" t="s">
        <v>333</v>
      </c>
      <c r="C4" s="60">
        <v>15.0</v>
      </c>
      <c r="D4" s="60">
        <v>5.0</v>
      </c>
      <c r="E4" s="60">
        <v>4.0</v>
      </c>
      <c r="F4" s="60">
        <v>1.0</v>
      </c>
      <c r="G4" s="60">
        <v>0.0</v>
      </c>
      <c r="H4" s="71">
        <v>1.0</v>
      </c>
      <c r="I4" s="72">
        <f t="shared" si="1"/>
        <v>28</v>
      </c>
    </row>
    <row r="5">
      <c r="A5" s="76" t="s">
        <v>216</v>
      </c>
      <c r="B5" s="70" t="s">
        <v>114</v>
      </c>
      <c r="C5" s="60">
        <v>8.0</v>
      </c>
      <c r="D5" s="60">
        <v>4.0</v>
      </c>
      <c r="E5" s="60">
        <v>1.0</v>
      </c>
      <c r="F5" s="60">
        <v>0.0</v>
      </c>
      <c r="G5" s="60">
        <v>0.0</v>
      </c>
      <c r="H5" s="71">
        <v>4.0</v>
      </c>
      <c r="I5" s="72">
        <f t="shared" si="1"/>
        <v>10.3</v>
      </c>
    </row>
    <row r="6">
      <c r="A6" s="76" t="s">
        <v>216</v>
      </c>
      <c r="B6" s="76" t="s">
        <v>134</v>
      </c>
      <c r="C6" s="60">
        <v>7.0</v>
      </c>
      <c r="D6" s="60">
        <v>8.0</v>
      </c>
      <c r="E6" s="60">
        <v>5.0</v>
      </c>
      <c r="F6" s="60">
        <v>1.0</v>
      </c>
      <c r="G6" s="60">
        <v>1.0</v>
      </c>
      <c r="H6" s="71">
        <v>0.0</v>
      </c>
      <c r="I6" s="72">
        <f t="shared" si="1"/>
        <v>28.1</v>
      </c>
    </row>
    <row r="7">
      <c r="A7" s="76" t="s">
        <v>216</v>
      </c>
      <c r="B7" s="36" t="s">
        <v>110</v>
      </c>
      <c r="C7" s="77">
        <v>10.0</v>
      </c>
      <c r="D7" s="77">
        <v>1.0</v>
      </c>
      <c r="E7" s="77">
        <v>0.0</v>
      </c>
      <c r="F7" s="77">
        <v>1.0</v>
      </c>
      <c r="G7" s="77">
        <v>1.0</v>
      </c>
      <c r="H7" s="78">
        <v>0.0</v>
      </c>
      <c r="I7" s="72">
        <f t="shared" si="1"/>
        <v>15.2</v>
      </c>
    </row>
    <row r="8">
      <c r="A8" s="96"/>
      <c r="B8" s="102" t="s">
        <v>217</v>
      </c>
      <c r="C8" s="103">
        <f>SUM(C3:C7)</f>
        <v>68</v>
      </c>
      <c r="D8" s="103">
        <f>SUM(D3:D7)*1.2</f>
        <v>39.6</v>
      </c>
      <c r="E8" s="103">
        <f>SUM(E3:E7)*1.5</f>
        <v>28.5</v>
      </c>
      <c r="F8" s="103">
        <f t="shared" ref="F8:G8" si="2">SUM(F3:F7)*2</f>
        <v>8</v>
      </c>
      <c r="G8" s="103">
        <f t="shared" si="2"/>
        <v>4</v>
      </c>
      <c r="H8" s="104">
        <f>SUM(H3:H7) *-1</f>
        <v>-8</v>
      </c>
      <c r="I8" s="105">
        <f>SUM(C8:H8)</f>
        <v>140.1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83</v>
      </c>
      <c r="C12" s="60">
        <v>24.0</v>
      </c>
      <c r="D12" s="60">
        <v>6.0</v>
      </c>
      <c r="E12" s="60">
        <v>10.0</v>
      </c>
      <c r="F12" s="60">
        <v>1.0</v>
      </c>
      <c r="G12" s="60">
        <v>1.0</v>
      </c>
      <c r="H12" s="71">
        <v>3.0</v>
      </c>
      <c r="I12" s="73">
        <f t="shared" ref="I12:I16" si="3">sum(C12+1.2*D12+1.5*E12+2*F12+2*G12)-H12</f>
        <v>47.2</v>
      </c>
    </row>
    <row r="13">
      <c r="A13" s="76" t="s">
        <v>215</v>
      </c>
      <c r="B13" s="76" t="s">
        <v>334</v>
      </c>
      <c r="C13" s="60">
        <v>14.0</v>
      </c>
      <c r="D13" s="60">
        <v>3.0</v>
      </c>
      <c r="E13" s="60">
        <v>7.0</v>
      </c>
      <c r="F13" s="60">
        <v>4.0</v>
      </c>
      <c r="G13" s="60">
        <v>0.0</v>
      </c>
      <c r="H13" s="71">
        <v>0.0</v>
      </c>
      <c r="I13" s="73">
        <f t="shared" si="3"/>
        <v>36.1</v>
      </c>
    </row>
    <row r="14">
      <c r="A14" s="76" t="s">
        <v>216</v>
      </c>
      <c r="B14" s="76" t="s">
        <v>69</v>
      </c>
      <c r="C14" s="60">
        <v>26.0</v>
      </c>
      <c r="D14" s="60">
        <v>13.0</v>
      </c>
      <c r="E14" s="60">
        <v>8.0</v>
      </c>
      <c r="F14" s="60">
        <v>1.0</v>
      </c>
      <c r="G14" s="60">
        <v>0.0</v>
      </c>
      <c r="H14" s="71">
        <v>5.0</v>
      </c>
      <c r="I14" s="73">
        <f t="shared" si="3"/>
        <v>50.6</v>
      </c>
    </row>
    <row r="15">
      <c r="A15" s="76" t="s">
        <v>216</v>
      </c>
      <c r="B15" s="76" t="s">
        <v>70</v>
      </c>
      <c r="C15" s="60">
        <v>25.0</v>
      </c>
      <c r="D15" s="60">
        <v>5.0</v>
      </c>
      <c r="E15" s="60">
        <v>1.0</v>
      </c>
      <c r="F15" s="60">
        <v>0.0</v>
      </c>
      <c r="G15" s="60">
        <v>0.0</v>
      </c>
      <c r="H15" s="71">
        <v>4.0</v>
      </c>
      <c r="I15" s="73">
        <f t="shared" si="3"/>
        <v>28.5</v>
      </c>
    </row>
    <row r="16">
      <c r="A16" s="76" t="s">
        <v>216</v>
      </c>
      <c r="B16" s="70" t="s">
        <v>335</v>
      </c>
      <c r="C16" s="77">
        <v>10.0</v>
      </c>
      <c r="D16" s="77">
        <v>5.0</v>
      </c>
      <c r="E16" s="77">
        <v>2.0</v>
      </c>
      <c r="F16" s="77">
        <v>0.0</v>
      </c>
      <c r="G16" s="77">
        <v>1.0</v>
      </c>
      <c r="H16" s="78">
        <v>1.0</v>
      </c>
      <c r="I16" s="73">
        <f t="shared" si="3"/>
        <v>20</v>
      </c>
    </row>
    <row r="17">
      <c r="A17" s="96"/>
      <c r="B17" s="102" t="s">
        <v>217</v>
      </c>
      <c r="C17" s="103">
        <f>SUM(C12:C16)</f>
        <v>99</v>
      </c>
      <c r="D17" s="103">
        <f>SUM(D12:D16)*1.2</f>
        <v>38.4</v>
      </c>
      <c r="E17" s="103">
        <f>SUM(E12:E16)*1.5</f>
        <v>42</v>
      </c>
      <c r="F17" s="103">
        <f t="shared" ref="F17:G17" si="4">SUM(F12:F16)*2</f>
        <v>12</v>
      </c>
      <c r="G17" s="103">
        <f t="shared" si="4"/>
        <v>4</v>
      </c>
      <c r="H17" s="104">
        <f>SUM(H12:H16) *-1</f>
        <v>-13</v>
      </c>
      <c r="I17" s="105">
        <f>SUM(C17:H17)</f>
        <v>182.4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78</v>
      </c>
      <c r="C21" s="60">
        <v>29.0</v>
      </c>
      <c r="D21" s="60">
        <v>10.0</v>
      </c>
      <c r="E21" s="60">
        <v>9.0</v>
      </c>
      <c r="F21" s="60">
        <v>0.0</v>
      </c>
      <c r="G21" s="60">
        <v>0.0</v>
      </c>
      <c r="H21" s="71">
        <v>6.0</v>
      </c>
      <c r="I21" s="73">
        <f t="shared" ref="I21:I25" si="5">sum(C21+1.2*D21+1.5*E21+2*F21+2*G21)-H21</f>
        <v>48.5</v>
      </c>
    </row>
    <row r="22">
      <c r="A22" s="76" t="s">
        <v>215</v>
      </c>
      <c r="B22" s="76" t="s">
        <v>129</v>
      </c>
      <c r="C22" s="60">
        <v>17.0</v>
      </c>
      <c r="D22" s="60">
        <v>9.0</v>
      </c>
      <c r="E22" s="60">
        <v>2.0</v>
      </c>
      <c r="F22" s="60">
        <v>0.0</v>
      </c>
      <c r="G22" s="60">
        <v>0.0</v>
      </c>
      <c r="H22" s="71">
        <v>1.0</v>
      </c>
      <c r="I22" s="73">
        <f t="shared" si="5"/>
        <v>29.8</v>
      </c>
    </row>
    <row r="23">
      <c r="A23" s="76" t="s">
        <v>216</v>
      </c>
      <c r="B23" s="76" t="s">
        <v>111</v>
      </c>
      <c r="C23" s="60">
        <v>19.0</v>
      </c>
      <c r="D23" s="60">
        <v>10.0</v>
      </c>
      <c r="E23" s="60">
        <v>3.0</v>
      </c>
      <c r="F23" s="60">
        <v>0.0</v>
      </c>
      <c r="G23" s="60">
        <v>0.0</v>
      </c>
      <c r="H23" s="71">
        <v>3.0</v>
      </c>
      <c r="I23" s="73">
        <f t="shared" si="5"/>
        <v>32.5</v>
      </c>
    </row>
    <row r="24">
      <c r="A24" s="76" t="s">
        <v>216</v>
      </c>
      <c r="B24" s="36" t="s">
        <v>133</v>
      </c>
      <c r="C24" s="60">
        <v>6.0</v>
      </c>
      <c r="D24" s="60">
        <v>5.0</v>
      </c>
      <c r="E24" s="60">
        <v>1.0</v>
      </c>
      <c r="F24" s="60">
        <v>0.0</v>
      </c>
      <c r="G24" s="60">
        <v>1.0</v>
      </c>
      <c r="H24" s="71">
        <v>1.0</v>
      </c>
      <c r="I24" s="73">
        <f t="shared" si="5"/>
        <v>14.5</v>
      </c>
    </row>
    <row r="25">
      <c r="A25" s="76" t="s">
        <v>216</v>
      </c>
      <c r="B25" s="76" t="s">
        <v>336</v>
      </c>
      <c r="C25" s="60">
        <v>9.0</v>
      </c>
      <c r="D25" s="60">
        <v>5.0</v>
      </c>
      <c r="E25" s="60">
        <v>4.0</v>
      </c>
      <c r="F25" s="60">
        <v>1.0</v>
      </c>
      <c r="G25" s="60">
        <v>0.0</v>
      </c>
      <c r="H25" s="71">
        <v>2.0</v>
      </c>
      <c r="I25" s="73">
        <f t="shared" si="5"/>
        <v>21</v>
      </c>
    </row>
    <row r="26">
      <c r="A26" s="96"/>
      <c r="B26" s="108" t="s">
        <v>217</v>
      </c>
      <c r="C26" s="109">
        <f>SUM(C21:C25)</f>
        <v>80</v>
      </c>
      <c r="D26" s="109">
        <f>SUM(D21:D25)*1.2</f>
        <v>46.8</v>
      </c>
      <c r="E26" s="109">
        <f>SUM(E21:E25)*1.5</f>
        <v>28.5</v>
      </c>
      <c r="F26" s="109">
        <f t="shared" ref="F26:G26" si="6">SUM(F21:F25)*2</f>
        <v>2</v>
      </c>
      <c r="G26" s="109">
        <f t="shared" si="6"/>
        <v>2</v>
      </c>
      <c r="H26" s="109">
        <f>SUM(H21:H25) *-1</f>
        <v>-13</v>
      </c>
      <c r="I26" s="110">
        <f>SUM(C26:H26)</f>
        <v>146.3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337</v>
      </c>
      <c r="C30" s="60">
        <v>16.0</v>
      </c>
      <c r="D30" s="60">
        <v>2.0</v>
      </c>
      <c r="E30" s="60">
        <v>4.0</v>
      </c>
      <c r="F30" s="60">
        <v>1.0</v>
      </c>
      <c r="G30" s="60">
        <v>0.0</v>
      </c>
      <c r="H30" s="71">
        <v>4.0</v>
      </c>
      <c r="I30" s="73">
        <f t="shared" ref="I30:I34" si="7">sum(C30+1.2*D30+1.5*E30+2*F30+2*G30)-H30</f>
        <v>22.4</v>
      </c>
    </row>
    <row r="31">
      <c r="A31" s="76" t="s">
        <v>215</v>
      </c>
      <c r="B31" s="76" t="s">
        <v>93</v>
      </c>
      <c r="C31" s="60">
        <v>16.0</v>
      </c>
      <c r="D31" s="60">
        <v>4.0</v>
      </c>
      <c r="E31" s="60">
        <v>4.0</v>
      </c>
      <c r="F31" s="60">
        <v>5.0</v>
      </c>
      <c r="G31" s="60">
        <v>3.0</v>
      </c>
      <c r="H31" s="71">
        <v>0.0</v>
      </c>
      <c r="I31" s="73">
        <f t="shared" si="7"/>
        <v>42.8</v>
      </c>
    </row>
    <row r="32">
      <c r="A32" s="76" t="s">
        <v>216</v>
      </c>
      <c r="B32" s="36" t="s">
        <v>98</v>
      </c>
      <c r="C32" s="60">
        <v>29.0</v>
      </c>
      <c r="D32" s="60">
        <v>6.0</v>
      </c>
      <c r="E32" s="60">
        <v>2.0</v>
      </c>
      <c r="F32" s="60">
        <v>3.0</v>
      </c>
      <c r="G32" s="60">
        <v>1.0</v>
      </c>
      <c r="H32" s="71">
        <v>3.0</v>
      </c>
      <c r="I32" s="73">
        <f t="shared" si="7"/>
        <v>44.2</v>
      </c>
    </row>
    <row r="33">
      <c r="A33" s="76" t="s">
        <v>216</v>
      </c>
      <c r="B33" s="76" t="s">
        <v>81</v>
      </c>
      <c r="C33" s="60">
        <v>13.0</v>
      </c>
      <c r="D33" s="60">
        <v>10.0</v>
      </c>
      <c r="E33" s="60">
        <v>1.0</v>
      </c>
      <c r="F33" s="60">
        <v>0.0</v>
      </c>
      <c r="G33" s="60">
        <v>1.0</v>
      </c>
      <c r="H33" s="71">
        <v>2.0</v>
      </c>
      <c r="I33" s="73">
        <f t="shared" si="7"/>
        <v>26.5</v>
      </c>
    </row>
    <row r="34">
      <c r="A34" s="76" t="s">
        <v>216</v>
      </c>
      <c r="B34" s="70" t="s">
        <v>338</v>
      </c>
      <c r="C34" s="60">
        <v>12.0</v>
      </c>
      <c r="D34" s="60">
        <v>8.0</v>
      </c>
      <c r="E34" s="60">
        <v>1.0</v>
      </c>
      <c r="F34" s="60">
        <v>1.0</v>
      </c>
      <c r="G34" s="60">
        <v>3.0</v>
      </c>
      <c r="H34" s="71">
        <v>0.0</v>
      </c>
      <c r="I34" s="73">
        <f t="shared" si="7"/>
        <v>31.1</v>
      </c>
    </row>
    <row r="35">
      <c r="A35" s="96"/>
      <c r="B35" s="108" t="s">
        <v>217</v>
      </c>
      <c r="C35" s="109">
        <f>SUM(C30:C34)</f>
        <v>86</v>
      </c>
      <c r="D35" s="109">
        <f>SUM(D30:D34)*1.2</f>
        <v>36</v>
      </c>
      <c r="E35" s="109">
        <f>SUM(E30:E34)*1.5</f>
        <v>18</v>
      </c>
      <c r="F35" s="109">
        <f t="shared" ref="F35:G35" si="8">SUM(F30:F34)*2</f>
        <v>20</v>
      </c>
      <c r="G35" s="109">
        <f t="shared" si="8"/>
        <v>16</v>
      </c>
      <c r="H35" s="109">
        <f>SUM(H30:H34) *-1</f>
        <v>-9</v>
      </c>
      <c r="I35" s="110">
        <f>SUM(C35:H35)</f>
        <v>167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  <row r="42">
      <c r="A42" s="125" t="s">
        <v>339</v>
      </c>
    </row>
  </sheetData>
  <hyperlinks>
    <hyperlink r:id="rId1" ref="A42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33.0</v>
      </c>
      <c r="D3" s="60">
        <v>7.0</v>
      </c>
      <c r="E3" s="60">
        <v>5.0</v>
      </c>
      <c r="F3" s="60">
        <v>5.0</v>
      </c>
      <c r="G3" s="60">
        <v>1.0</v>
      </c>
      <c r="H3" s="71">
        <v>3.0</v>
      </c>
      <c r="I3" s="72">
        <f t="shared" ref="I3:I7" si="1">sum(C3+1.2*D3+1.5*E3+2*F3+2*G3)-H3</f>
        <v>57.9</v>
      </c>
    </row>
    <row r="4">
      <c r="A4" s="76" t="s">
        <v>215</v>
      </c>
      <c r="B4" s="76" t="s">
        <v>129</v>
      </c>
      <c r="C4" s="60">
        <v>14.0</v>
      </c>
      <c r="D4" s="60">
        <v>9.0</v>
      </c>
      <c r="E4" s="60">
        <v>3.0</v>
      </c>
      <c r="F4" s="60">
        <v>3.0</v>
      </c>
      <c r="G4" s="60">
        <v>1.0</v>
      </c>
      <c r="H4" s="71">
        <v>3.0</v>
      </c>
      <c r="I4" s="72">
        <f t="shared" si="1"/>
        <v>34.3</v>
      </c>
    </row>
    <row r="5">
      <c r="A5" s="76" t="s">
        <v>216</v>
      </c>
      <c r="B5" s="70" t="s">
        <v>81</v>
      </c>
      <c r="C5" s="60">
        <v>9.0</v>
      </c>
      <c r="D5" s="60">
        <v>6.0</v>
      </c>
      <c r="E5" s="60">
        <v>2.0</v>
      </c>
      <c r="F5" s="60">
        <v>0.0</v>
      </c>
      <c r="G5" s="60">
        <v>0.0</v>
      </c>
      <c r="H5" s="71">
        <v>1.0</v>
      </c>
      <c r="I5" s="72">
        <f t="shared" si="1"/>
        <v>18.2</v>
      </c>
    </row>
    <row r="6">
      <c r="A6" s="76" t="s">
        <v>216</v>
      </c>
      <c r="B6" s="76" t="s">
        <v>133</v>
      </c>
      <c r="C6" s="60">
        <v>14.0</v>
      </c>
      <c r="D6" s="60">
        <v>3.0</v>
      </c>
      <c r="E6" s="60">
        <v>2.0</v>
      </c>
      <c r="F6" s="60">
        <v>0.0</v>
      </c>
      <c r="G6" s="60">
        <v>0.0</v>
      </c>
      <c r="H6" s="71">
        <v>0.0</v>
      </c>
      <c r="I6" s="72">
        <f t="shared" si="1"/>
        <v>20.6</v>
      </c>
    </row>
    <row r="7">
      <c r="A7" s="76" t="s">
        <v>216</v>
      </c>
      <c r="B7" s="36" t="s">
        <v>336</v>
      </c>
      <c r="C7" s="77">
        <v>11.0</v>
      </c>
      <c r="D7" s="77">
        <v>2.0</v>
      </c>
      <c r="E7" s="77">
        <v>2.0</v>
      </c>
      <c r="F7" s="77">
        <v>0.0</v>
      </c>
      <c r="G7" s="77">
        <v>0.0</v>
      </c>
      <c r="H7" s="78">
        <v>2.0</v>
      </c>
      <c r="I7" s="72">
        <f t="shared" si="1"/>
        <v>14.4</v>
      </c>
    </row>
    <row r="8">
      <c r="A8" s="96"/>
      <c r="B8" s="102" t="s">
        <v>217</v>
      </c>
      <c r="C8" s="103">
        <f>SUM(C3:C7)</f>
        <v>81</v>
      </c>
      <c r="D8" s="103">
        <f>SUM(D3:D7)*1.2</f>
        <v>32.4</v>
      </c>
      <c r="E8" s="103">
        <f>SUM(E3:E7)*1.5</f>
        <v>21</v>
      </c>
      <c r="F8" s="103">
        <f t="shared" ref="F8:G8" si="2">SUM(F3:F7)*2</f>
        <v>16</v>
      </c>
      <c r="G8" s="103">
        <f t="shared" si="2"/>
        <v>4</v>
      </c>
      <c r="H8" s="104">
        <f>SUM(H3:H7) *-1</f>
        <v>-9</v>
      </c>
      <c r="I8" s="105">
        <f>SUM(C8:H8)</f>
        <v>145.4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334</v>
      </c>
      <c r="C12" s="60">
        <v>16.0</v>
      </c>
      <c r="D12" s="60">
        <v>1.0</v>
      </c>
      <c r="E12" s="60">
        <v>4.0</v>
      </c>
      <c r="F12" s="60">
        <v>1.0</v>
      </c>
      <c r="G12" s="60">
        <v>0.0</v>
      </c>
      <c r="H12" s="71">
        <v>1.0</v>
      </c>
      <c r="I12" s="73">
        <f t="shared" ref="I12:I16" si="3">sum(C12+1.2*D12+1.5*E12+2*F12+2*G12)-H12</f>
        <v>24.2</v>
      </c>
    </row>
    <row r="13">
      <c r="A13" s="76" t="s">
        <v>215</v>
      </c>
      <c r="B13" s="76" t="s">
        <v>340</v>
      </c>
      <c r="C13" s="60">
        <v>23.0</v>
      </c>
      <c r="D13" s="60">
        <v>9.0</v>
      </c>
      <c r="E13" s="60">
        <v>6.0</v>
      </c>
      <c r="F13" s="60">
        <v>1.0</v>
      </c>
      <c r="G13" s="60">
        <v>0.0</v>
      </c>
      <c r="H13" s="71">
        <v>1.0</v>
      </c>
      <c r="I13" s="73">
        <f t="shared" si="3"/>
        <v>43.8</v>
      </c>
    </row>
    <row r="14">
      <c r="A14" s="76" t="s">
        <v>216</v>
      </c>
      <c r="B14" s="76" t="s">
        <v>69</v>
      </c>
      <c r="C14" s="60">
        <v>36.0</v>
      </c>
      <c r="D14" s="60">
        <v>10.0</v>
      </c>
      <c r="E14" s="60">
        <v>8.0</v>
      </c>
      <c r="F14" s="60">
        <v>1.0</v>
      </c>
      <c r="G14" s="60">
        <v>2.0</v>
      </c>
      <c r="H14" s="71">
        <v>0.0</v>
      </c>
      <c r="I14" s="73">
        <f t="shared" si="3"/>
        <v>66</v>
      </c>
    </row>
    <row r="15">
      <c r="A15" s="76" t="s">
        <v>216</v>
      </c>
      <c r="B15" s="76" t="s">
        <v>70</v>
      </c>
      <c r="C15" s="60">
        <v>14.0</v>
      </c>
      <c r="D15" s="60">
        <v>11.0</v>
      </c>
      <c r="E15" s="60">
        <v>3.0</v>
      </c>
      <c r="F15" s="60">
        <v>0.0</v>
      </c>
      <c r="G15" s="60">
        <v>0.0</v>
      </c>
      <c r="H15" s="71">
        <v>0.0</v>
      </c>
      <c r="I15" s="73">
        <f t="shared" si="3"/>
        <v>31.7</v>
      </c>
    </row>
    <row r="16">
      <c r="A16" s="76" t="s">
        <v>216</v>
      </c>
      <c r="B16" s="70" t="s">
        <v>341</v>
      </c>
      <c r="C16" s="77">
        <v>16.0</v>
      </c>
      <c r="D16" s="77">
        <v>8.0</v>
      </c>
      <c r="E16" s="77">
        <v>2.0</v>
      </c>
      <c r="F16" s="77">
        <v>0.0</v>
      </c>
      <c r="G16" s="77">
        <v>0.0</v>
      </c>
      <c r="H16" s="78">
        <v>0.0</v>
      </c>
      <c r="I16" s="73">
        <f t="shared" si="3"/>
        <v>28.6</v>
      </c>
    </row>
    <row r="17">
      <c r="A17" s="96"/>
      <c r="B17" s="102" t="s">
        <v>217</v>
      </c>
      <c r="C17" s="103">
        <f>SUM(C12:C16)</f>
        <v>105</v>
      </c>
      <c r="D17" s="103">
        <f>SUM(D12:D16)*1.2</f>
        <v>46.8</v>
      </c>
      <c r="E17" s="103">
        <f>SUM(E12:E16)*1.5</f>
        <v>34.5</v>
      </c>
      <c r="F17" s="103">
        <f t="shared" ref="F17:G17" si="4">SUM(F12:F16)*2</f>
        <v>6</v>
      </c>
      <c r="G17" s="103">
        <f t="shared" si="4"/>
        <v>4</v>
      </c>
      <c r="H17" s="104">
        <f>SUM(H12:H16) *-1</f>
        <v>-2</v>
      </c>
      <c r="I17" s="105">
        <f>SUM(C17:H17)</f>
        <v>194.3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78</v>
      </c>
      <c r="C21" s="60">
        <v>26.0</v>
      </c>
      <c r="D21" s="60">
        <v>9.0</v>
      </c>
      <c r="E21" s="60">
        <v>9.0</v>
      </c>
      <c r="F21" s="60">
        <v>2.0</v>
      </c>
      <c r="G21" s="60">
        <v>0.0</v>
      </c>
      <c r="H21" s="71">
        <v>5.0</v>
      </c>
      <c r="I21" s="73">
        <f t="shared" ref="I21:I25" si="5">sum(C21+1.2*D21+1.5*E21+2*F21+2*G21)-H21</f>
        <v>49.3</v>
      </c>
    </row>
    <row r="22">
      <c r="A22" s="76" t="s">
        <v>215</v>
      </c>
      <c r="B22" s="76" t="s">
        <v>337</v>
      </c>
      <c r="C22" s="60">
        <v>33.0</v>
      </c>
      <c r="D22" s="60">
        <v>3.0</v>
      </c>
      <c r="E22" s="60">
        <v>4.0</v>
      </c>
      <c r="F22" s="60">
        <v>1.0</v>
      </c>
      <c r="G22" s="60">
        <v>0.0</v>
      </c>
      <c r="H22" s="71">
        <v>4.0</v>
      </c>
      <c r="I22" s="73">
        <f t="shared" si="5"/>
        <v>40.6</v>
      </c>
    </row>
    <row r="23">
      <c r="A23" s="76" t="s">
        <v>216</v>
      </c>
      <c r="B23" s="76" t="s">
        <v>342</v>
      </c>
      <c r="C23" s="60">
        <v>22.0</v>
      </c>
      <c r="D23" s="60">
        <v>10.0</v>
      </c>
      <c r="E23" s="60">
        <v>1.0</v>
      </c>
      <c r="F23" s="60">
        <v>0.0</v>
      </c>
      <c r="G23" s="60">
        <v>0.0</v>
      </c>
      <c r="H23" s="71">
        <v>5.0</v>
      </c>
      <c r="I23" s="73">
        <f t="shared" si="5"/>
        <v>30.5</v>
      </c>
    </row>
    <row r="24">
      <c r="A24" s="76" t="s">
        <v>216</v>
      </c>
      <c r="B24" s="76" t="s">
        <v>110</v>
      </c>
      <c r="C24" s="60">
        <v>15.0</v>
      </c>
      <c r="D24" s="60">
        <v>1.0</v>
      </c>
      <c r="E24" s="60">
        <v>0.0</v>
      </c>
      <c r="F24" s="60">
        <v>1.0</v>
      </c>
      <c r="G24" s="60">
        <v>0.0</v>
      </c>
      <c r="H24" s="71">
        <v>0.0</v>
      </c>
      <c r="I24" s="73">
        <f t="shared" si="5"/>
        <v>18.2</v>
      </c>
    </row>
    <row r="25">
      <c r="A25" s="76" t="s">
        <v>216</v>
      </c>
      <c r="B25" s="76" t="s">
        <v>134</v>
      </c>
      <c r="C25" s="60">
        <v>23.0</v>
      </c>
      <c r="D25" s="60">
        <v>5.0</v>
      </c>
      <c r="E25" s="60">
        <v>0.0</v>
      </c>
      <c r="F25" s="60">
        <v>1.0</v>
      </c>
      <c r="G25" s="60">
        <v>3.0</v>
      </c>
      <c r="H25" s="71">
        <v>1.0</v>
      </c>
      <c r="I25" s="73">
        <f t="shared" si="5"/>
        <v>36</v>
      </c>
    </row>
    <row r="26">
      <c r="A26" s="96"/>
      <c r="B26" s="108" t="s">
        <v>217</v>
      </c>
      <c r="C26" s="109">
        <f>SUM(C21:C25)</f>
        <v>119</v>
      </c>
      <c r="D26" s="109">
        <f>SUM(D21:D25)*1.2</f>
        <v>33.6</v>
      </c>
      <c r="E26" s="109">
        <f>SUM(E21:E25)*1.5</f>
        <v>21</v>
      </c>
      <c r="F26" s="109">
        <f t="shared" ref="F26:G26" si="6">SUM(F21:F25)*2</f>
        <v>10</v>
      </c>
      <c r="G26" s="109">
        <f t="shared" si="6"/>
        <v>6</v>
      </c>
      <c r="H26" s="109">
        <f>SUM(H21:H25) *-1</f>
        <v>-15</v>
      </c>
      <c r="I26" s="110">
        <f>SUM(C26:H26)</f>
        <v>174.6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93</v>
      </c>
      <c r="C30" s="60">
        <v>13.0</v>
      </c>
      <c r="D30" s="60">
        <v>5.0</v>
      </c>
      <c r="E30" s="60">
        <v>7.0</v>
      </c>
      <c r="F30" s="60">
        <v>0.0</v>
      </c>
      <c r="G30" s="60">
        <v>4.0</v>
      </c>
      <c r="H30" s="71">
        <v>0.0</v>
      </c>
      <c r="I30" s="73">
        <f t="shared" ref="I30:I34" si="7">sum(C30+1.2*D30+1.5*E30+2*F30+2*G30)-H30</f>
        <v>37.5</v>
      </c>
    </row>
    <row r="31">
      <c r="A31" s="76" t="s">
        <v>215</v>
      </c>
      <c r="B31" s="76" t="s">
        <v>343</v>
      </c>
      <c r="C31" s="60">
        <v>32.0</v>
      </c>
      <c r="D31" s="60">
        <v>4.0</v>
      </c>
      <c r="E31" s="60">
        <v>9.0</v>
      </c>
      <c r="F31" s="60">
        <v>0.0</v>
      </c>
      <c r="G31" s="60">
        <v>0.0</v>
      </c>
      <c r="H31" s="71">
        <v>2.0</v>
      </c>
      <c r="I31" s="73">
        <f t="shared" si="7"/>
        <v>48.3</v>
      </c>
    </row>
    <row r="32">
      <c r="A32" s="76" t="s">
        <v>216</v>
      </c>
      <c r="B32" s="36" t="s">
        <v>111</v>
      </c>
      <c r="C32" s="60">
        <v>22.0</v>
      </c>
      <c r="D32" s="60">
        <v>3.0</v>
      </c>
      <c r="E32" s="60">
        <v>6.0</v>
      </c>
      <c r="F32" s="60">
        <v>1.0</v>
      </c>
      <c r="G32" s="60">
        <v>0.0</v>
      </c>
      <c r="H32" s="71">
        <v>1.0</v>
      </c>
      <c r="I32" s="73">
        <f t="shared" si="7"/>
        <v>35.6</v>
      </c>
    </row>
    <row r="33">
      <c r="A33" s="76" t="s">
        <v>216</v>
      </c>
      <c r="B33" s="76" t="s">
        <v>98</v>
      </c>
      <c r="C33" s="60">
        <v>24.0</v>
      </c>
      <c r="D33" s="60">
        <v>2.0</v>
      </c>
      <c r="E33" s="60">
        <v>3.0</v>
      </c>
      <c r="F33" s="60">
        <v>1.0</v>
      </c>
      <c r="G33" s="60">
        <v>1.0</v>
      </c>
      <c r="H33" s="71">
        <v>1.0</v>
      </c>
      <c r="I33" s="73">
        <f t="shared" si="7"/>
        <v>33.9</v>
      </c>
    </row>
    <row r="34">
      <c r="A34" s="76" t="s">
        <v>216</v>
      </c>
      <c r="B34" s="70" t="s">
        <v>344</v>
      </c>
      <c r="C34" s="60">
        <v>6.0</v>
      </c>
      <c r="D34" s="60">
        <v>3.0</v>
      </c>
      <c r="E34" s="60">
        <v>2.0</v>
      </c>
      <c r="F34" s="60">
        <v>0.0</v>
      </c>
      <c r="G34" s="60">
        <v>1.0</v>
      </c>
      <c r="H34" s="71">
        <v>0.0</v>
      </c>
      <c r="I34" s="73">
        <f t="shared" si="7"/>
        <v>14.6</v>
      </c>
    </row>
    <row r="35">
      <c r="A35" s="96"/>
      <c r="B35" s="108" t="s">
        <v>217</v>
      </c>
      <c r="C35" s="109">
        <f>SUM(C30:C34)</f>
        <v>97</v>
      </c>
      <c r="D35" s="109">
        <f>SUM(D30:D34)*1.2</f>
        <v>20.4</v>
      </c>
      <c r="E35" s="109">
        <f>SUM(E30:E34)*1.5</f>
        <v>40.5</v>
      </c>
      <c r="F35" s="109">
        <f t="shared" ref="F35:G35" si="8">SUM(F30:F34)*2</f>
        <v>4</v>
      </c>
      <c r="G35" s="109">
        <f t="shared" si="8"/>
        <v>12</v>
      </c>
      <c r="H35" s="109">
        <f>SUM(H30:H34) *-1</f>
        <v>-4</v>
      </c>
      <c r="I35" s="110">
        <f>SUM(C35:H35)</f>
        <v>169.9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32.0</v>
      </c>
      <c r="D3" s="60">
        <v>10.0</v>
      </c>
      <c r="E3" s="60">
        <v>13.0</v>
      </c>
      <c r="F3" s="60">
        <v>0.0</v>
      </c>
      <c r="G3" s="60">
        <v>0.0</v>
      </c>
      <c r="H3" s="71">
        <v>4.0</v>
      </c>
      <c r="I3" s="72">
        <f t="shared" ref="I3:I7" si="1">sum(C3+1.2*D3+1.5*E3+2*F3+2*G3)-H3</f>
        <v>59.5</v>
      </c>
    </row>
    <row r="4">
      <c r="A4" s="76" t="s">
        <v>215</v>
      </c>
      <c r="B4" s="76" t="s">
        <v>93</v>
      </c>
      <c r="C4" s="60">
        <v>23.0</v>
      </c>
      <c r="D4" s="60">
        <v>4.0</v>
      </c>
      <c r="E4" s="60">
        <v>6.0</v>
      </c>
      <c r="F4" s="60">
        <v>1.0</v>
      </c>
      <c r="G4" s="60">
        <v>1.0</v>
      </c>
      <c r="H4" s="71">
        <v>0.0</v>
      </c>
      <c r="I4" s="72">
        <f t="shared" si="1"/>
        <v>40.8</v>
      </c>
    </row>
    <row r="5">
      <c r="A5" s="76" t="s">
        <v>216</v>
      </c>
      <c r="B5" s="76" t="s">
        <v>111</v>
      </c>
      <c r="C5" s="60">
        <v>28.0</v>
      </c>
      <c r="D5" s="60">
        <v>5.0</v>
      </c>
      <c r="E5" s="60">
        <v>2.0</v>
      </c>
      <c r="F5" s="60">
        <v>0.0</v>
      </c>
      <c r="G5" s="60">
        <v>0.0</v>
      </c>
      <c r="H5" s="71">
        <v>2.0</v>
      </c>
      <c r="I5" s="72">
        <f t="shared" si="1"/>
        <v>35</v>
      </c>
    </row>
    <row r="6">
      <c r="A6" s="76" t="s">
        <v>216</v>
      </c>
      <c r="B6" s="76" t="s">
        <v>70</v>
      </c>
      <c r="C6" s="60">
        <v>15.0</v>
      </c>
      <c r="D6" s="60">
        <v>7.0</v>
      </c>
      <c r="E6" s="60">
        <v>3.0</v>
      </c>
      <c r="F6" s="60">
        <v>2.0</v>
      </c>
      <c r="G6" s="60">
        <v>0.0</v>
      </c>
      <c r="H6" s="71">
        <v>0.0</v>
      </c>
      <c r="I6" s="72">
        <f t="shared" si="1"/>
        <v>31.9</v>
      </c>
    </row>
    <row r="7">
      <c r="A7" s="76" t="s">
        <v>216</v>
      </c>
      <c r="B7" s="70" t="s">
        <v>81</v>
      </c>
      <c r="C7" s="77">
        <v>16.0</v>
      </c>
      <c r="D7" s="77">
        <v>10.0</v>
      </c>
      <c r="E7" s="77">
        <v>2.0</v>
      </c>
      <c r="F7" s="77">
        <v>2.0</v>
      </c>
      <c r="G7" s="77">
        <v>1.0</v>
      </c>
      <c r="H7" s="78">
        <v>0.0</v>
      </c>
      <c r="I7" s="72">
        <f t="shared" si="1"/>
        <v>37</v>
      </c>
    </row>
    <row r="8">
      <c r="A8" s="96"/>
      <c r="B8" s="102" t="s">
        <v>217</v>
      </c>
      <c r="C8" s="103">
        <f>SUM(C3:C7)</f>
        <v>114</v>
      </c>
      <c r="D8" s="103">
        <f>SUM(D3:D7)*1.2</f>
        <v>43.2</v>
      </c>
      <c r="E8" s="103">
        <f>SUM(E3:E7)*1.5</f>
        <v>39</v>
      </c>
      <c r="F8" s="103">
        <f t="shared" ref="F8:G8" si="2">SUM(F3:F7)*2</f>
        <v>10</v>
      </c>
      <c r="G8" s="103">
        <f t="shared" si="2"/>
        <v>4</v>
      </c>
      <c r="H8" s="104">
        <f>SUM(H3:H7) *-1</f>
        <v>-6</v>
      </c>
      <c r="I8" s="105">
        <f>SUM(C8:H8)</f>
        <v>204.2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345</v>
      </c>
      <c r="C12" s="60">
        <v>20.0</v>
      </c>
      <c r="D12" s="60">
        <v>4.0</v>
      </c>
      <c r="E12" s="60">
        <v>6.0</v>
      </c>
      <c r="F12" s="60">
        <v>1.0</v>
      </c>
      <c r="G12" s="60">
        <v>0.0</v>
      </c>
      <c r="H12" s="71">
        <v>2.0</v>
      </c>
      <c r="I12" s="73">
        <f t="shared" ref="I12:I16" si="3">sum(C12+1.2*D12+1.5*E12+2*F12+2*G12)-H12</f>
        <v>33.8</v>
      </c>
    </row>
    <row r="13">
      <c r="A13" s="76" t="s">
        <v>215</v>
      </c>
      <c r="B13" s="76" t="s">
        <v>92</v>
      </c>
      <c r="C13" s="60">
        <v>10.0</v>
      </c>
      <c r="D13" s="60">
        <v>4.0</v>
      </c>
      <c r="E13" s="60">
        <v>8.0</v>
      </c>
      <c r="F13" s="60">
        <v>1.0</v>
      </c>
      <c r="G13" s="60">
        <v>0.0</v>
      </c>
      <c r="H13" s="71">
        <v>0.0</v>
      </c>
      <c r="I13" s="73">
        <f t="shared" si="3"/>
        <v>28.8</v>
      </c>
    </row>
    <row r="14">
      <c r="A14" s="76" t="s">
        <v>216</v>
      </c>
      <c r="B14" s="76" t="s">
        <v>69</v>
      </c>
      <c r="C14" s="60">
        <v>23.0</v>
      </c>
      <c r="D14" s="60">
        <v>6.0</v>
      </c>
      <c r="E14" s="60">
        <v>5.0</v>
      </c>
      <c r="F14" s="60">
        <v>0.0</v>
      </c>
      <c r="G14" s="60">
        <v>0.0</v>
      </c>
      <c r="H14" s="71">
        <v>4.0</v>
      </c>
      <c r="I14" s="73">
        <f t="shared" si="3"/>
        <v>33.7</v>
      </c>
    </row>
    <row r="15">
      <c r="A15" s="76" t="s">
        <v>216</v>
      </c>
      <c r="B15" s="76" t="s">
        <v>110</v>
      </c>
      <c r="C15" s="60">
        <v>2.0</v>
      </c>
      <c r="D15" s="60">
        <v>5.0</v>
      </c>
      <c r="E15" s="60">
        <v>2.0</v>
      </c>
      <c r="F15" s="60">
        <v>0.0</v>
      </c>
      <c r="G15" s="60">
        <v>2.0</v>
      </c>
      <c r="H15" s="71">
        <v>2.0</v>
      </c>
      <c r="I15" s="73">
        <f t="shared" si="3"/>
        <v>13</v>
      </c>
    </row>
    <row r="16">
      <c r="A16" s="76" t="s">
        <v>216</v>
      </c>
      <c r="B16" s="70" t="s">
        <v>346</v>
      </c>
      <c r="C16" s="77">
        <v>14.0</v>
      </c>
      <c r="D16" s="77">
        <v>9.0</v>
      </c>
      <c r="E16" s="77">
        <v>2.0</v>
      </c>
      <c r="F16" s="77">
        <v>0.0</v>
      </c>
      <c r="G16" s="77">
        <v>0.0</v>
      </c>
      <c r="H16" s="78">
        <v>0.0</v>
      </c>
      <c r="I16" s="73">
        <f t="shared" si="3"/>
        <v>27.8</v>
      </c>
    </row>
    <row r="17">
      <c r="A17" s="96"/>
      <c r="B17" s="102" t="s">
        <v>217</v>
      </c>
      <c r="C17" s="103">
        <f>SUM(C12:C16)</f>
        <v>69</v>
      </c>
      <c r="D17" s="103">
        <f>SUM(D12:D16)*1.2</f>
        <v>33.6</v>
      </c>
      <c r="E17" s="103">
        <f>SUM(E12:E16)*1.5</f>
        <v>34.5</v>
      </c>
      <c r="F17" s="103">
        <f t="shared" ref="F17:G17" si="4">SUM(F12:F16)*2</f>
        <v>4</v>
      </c>
      <c r="G17" s="103">
        <f t="shared" si="4"/>
        <v>4</v>
      </c>
      <c r="H17" s="104">
        <f>SUM(H12:H16) *-1</f>
        <v>-8</v>
      </c>
      <c r="I17" s="105">
        <f>SUM(C17:H17)</f>
        <v>137.1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78</v>
      </c>
      <c r="C21" s="60">
        <v>21.0</v>
      </c>
      <c r="D21" s="60">
        <v>5.0</v>
      </c>
      <c r="E21" s="60">
        <v>7.0</v>
      </c>
      <c r="F21" s="60">
        <v>0.0</v>
      </c>
      <c r="G21" s="60">
        <v>1.0</v>
      </c>
      <c r="H21" s="71">
        <v>2.0</v>
      </c>
      <c r="I21" s="73">
        <f t="shared" ref="I21:I25" si="5">sum(C21+1.2*D21+1.5*E21+2*F21+2*G21)-H21</f>
        <v>37.5</v>
      </c>
    </row>
    <row r="22">
      <c r="A22" s="76" t="s">
        <v>215</v>
      </c>
      <c r="B22" s="76" t="s">
        <v>129</v>
      </c>
      <c r="C22" s="60">
        <v>15.0</v>
      </c>
      <c r="D22" s="60">
        <v>3.0</v>
      </c>
      <c r="E22" s="60">
        <v>10.0</v>
      </c>
      <c r="F22" s="60">
        <v>0.0</v>
      </c>
      <c r="G22" s="60">
        <v>0.0</v>
      </c>
      <c r="H22" s="71">
        <v>1.0</v>
      </c>
      <c r="I22" s="73">
        <f t="shared" si="5"/>
        <v>32.6</v>
      </c>
    </row>
    <row r="23">
      <c r="A23" s="76" t="s">
        <v>216</v>
      </c>
      <c r="B23" s="76" t="s">
        <v>98</v>
      </c>
      <c r="C23" s="60">
        <v>40.0</v>
      </c>
      <c r="D23" s="60">
        <v>5.0</v>
      </c>
      <c r="E23" s="60">
        <v>2.0</v>
      </c>
      <c r="F23" s="60">
        <v>1.0</v>
      </c>
      <c r="G23" s="60">
        <v>0.0</v>
      </c>
      <c r="H23" s="71">
        <v>2.0</v>
      </c>
      <c r="I23" s="73">
        <f t="shared" si="5"/>
        <v>49</v>
      </c>
    </row>
    <row r="24">
      <c r="A24" s="76" t="s">
        <v>216</v>
      </c>
      <c r="B24" s="76" t="s">
        <v>114</v>
      </c>
      <c r="C24" s="60">
        <v>8.0</v>
      </c>
      <c r="D24" s="60">
        <v>4.0</v>
      </c>
      <c r="E24" s="60">
        <v>0.0</v>
      </c>
      <c r="F24" s="60">
        <v>1.0</v>
      </c>
      <c r="G24" s="60">
        <v>0.0</v>
      </c>
      <c r="H24" s="71">
        <v>4.0</v>
      </c>
      <c r="I24" s="73">
        <f t="shared" si="5"/>
        <v>10.8</v>
      </c>
    </row>
    <row r="25">
      <c r="A25" s="76" t="s">
        <v>216</v>
      </c>
      <c r="B25" s="76" t="s">
        <v>335</v>
      </c>
      <c r="C25" s="60">
        <v>10.0</v>
      </c>
      <c r="D25" s="60">
        <v>5.0</v>
      </c>
      <c r="E25" s="60">
        <v>0.0</v>
      </c>
      <c r="F25" s="60">
        <v>1.0</v>
      </c>
      <c r="G25" s="60">
        <v>2.0</v>
      </c>
      <c r="H25" s="71">
        <v>1.0</v>
      </c>
      <c r="I25" s="73">
        <f t="shared" si="5"/>
        <v>21</v>
      </c>
    </row>
    <row r="26">
      <c r="A26" s="96"/>
      <c r="B26" s="108" t="s">
        <v>217</v>
      </c>
      <c r="C26" s="109">
        <f>SUM(C21:C25)</f>
        <v>94</v>
      </c>
      <c r="D26" s="109">
        <f>SUM(D21:D25)*1.2</f>
        <v>26.4</v>
      </c>
      <c r="E26" s="109">
        <f>SUM(E21:E25)*1.5</f>
        <v>28.5</v>
      </c>
      <c r="F26" s="109">
        <f t="shared" ref="F26:G26" si="6">SUM(F21:F25)*2</f>
        <v>6</v>
      </c>
      <c r="G26" s="109">
        <f t="shared" si="6"/>
        <v>6</v>
      </c>
      <c r="H26" s="109">
        <f>SUM(H21:H25) *-1</f>
        <v>-10</v>
      </c>
      <c r="I26" s="110">
        <f>SUM(C26:H26)</f>
        <v>150.9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0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108" t="s">
        <v>217</v>
      </c>
      <c r="C35" s="109">
        <f>SUM(C30:C34)</f>
        <v>0</v>
      </c>
      <c r="D35" s="109">
        <f>SUM(D30:D34)*1.2</f>
        <v>0</v>
      </c>
      <c r="E35" s="109">
        <f>SUM(E30:E34)*1.5</f>
        <v>0</v>
      </c>
      <c r="F35" s="109">
        <f t="shared" ref="F35:G35" si="8">SUM(F30:F34)*2</f>
        <v>0</v>
      </c>
      <c r="G35" s="109">
        <f t="shared" si="8"/>
        <v>0</v>
      </c>
      <c r="H35" s="109">
        <f>SUM(H30:H34) *-1</f>
        <v>0</v>
      </c>
      <c r="I35" s="110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79</v>
      </c>
      <c r="C3" s="60">
        <v>33.0</v>
      </c>
      <c r="D3" s="60">
        <v>6.0</v>
      </c>
      <c r="E3" s="60">
        <v>8.0</v>
      </c>
      <c r="F3" s="60">
        <v>3.0</v>
      </c>
      <c r="G3" s="60">
        <v>1.0</v>
      </c>
      <c r="H3" s="71">
        <v>4.0</v>
      </c>
      <c r="I3" s="72">
        <f t="shared" ref="I3:I7" si="1">sum(C3+1.2*D3+1.5*E3+2*F3+2*G3)-H3</f>
        <v>56.2</v>
      </c>
    </row>
    <row r="4">
      <c r="A4" s="76" t="s">
        <v>215</v>
      </c>
      <c r="B4" s="76" t="s">
        <v>129</v>
      </c>
      <c r="C4" s="60">
        <v>28.0</v>
      </c>
      <c r="D4" s="60">
        <v>7.0</v>
      </c>
      <c r="E4" s="60">
        <v>8.0</v>
      </c>
      <c r="F4" s="60">
        <v>3.0</v>
      </c>
      <c r="G4" s="60">
        <v>0.0</v>
      </c>
      <c r="H4" s="71">
        <v>4.0</v>
      </c>
      <c r="I4" s="72">
        <f t="shared" si="1"/>
        <v>50.4</v>
      </c>
    </row>
    <row r="5">
      <c r="A5" s="76" t="s">
        <v>216</v>
      </c>
      <c r="B5" s="76" t="s">
        <v>98</v>
      </c>
      <c r="C5" s="60">
        <v>26.0</v>
      </c>
      <c r="D5" s="60">
        <v>7.0</v>
      </c>
      <c r="E5" s="60">
        <v>5.0</v>
      </c>
      <c r="F5" s="60">
        <v>3.0</v>
      </c>
      <c r="G5" s="60">
        <v>1.0</v>
      </c>
      <c r="H5" s="71">
        <v>3.0</v>
      </c>
      <c r="I5" s="72">
        <f t="shared" si="1"/>
        <v>46.9</v>
      </c>
    </row>
    <row r="6">
      <c r="A6" s="76" t="s">
        <v>216</v>
      </c>
      <c r="B6" s="76" t="s">
        <v>70</v>
      </c>
      <c r="C6" s="60">
        <v>16.0</v>
      </c>
      <c r="D6" s="60">
        <v>7.0</v>
      </c>
      <c r="E6" s="60">
        <v>2.0</v>
      </c>
      <c r="F6" s="60">
        <v>1.0</v>
      </c>
      <c r="G6" s="60">
        <v>0.0</v>
      </c>
      <c r="H6" s="71">
        <v>1.0</v>
      </c>
      <c r="I6" s="72">
        <f t="shared" si="1"/>
        <v>28.4</v>
      </c>
    </row>
    <row r="7">
      <c r="A7" s="76" t="s">
        <v>216</v>
      </c>
      <c r="B7" s="70" t="s">
        <v>110</v>
      </c>
      <c r="C7" s="77">
        <v>24.0</v>
      </c>
      <c r="D7" s="77">
        <v>4.0</v>
      </c>
      <c r="E7" s="77">
        <v>3.0</v>
      </c>
      <c r="F7" s="77">
        <v>1.0</v>
      </c>
      <c r="G7" s="77">
        <v>0.0</v>
      </c>
      <c r="H7" s="78">
        <v>3.0</v>
      </c>
      <c r="I7" s="72">
        <f t="shared" si="1"/>
        <v>32.3</v>
      </c>
    </row>
    <row r="8">
      <c r="A8" s="96"/>
      <c r="B8" s="102" t="s">
        <v>217</v>
      </c>
      <c r="C8" s="103">
        <f>SUM(C3:C7)</f>
        <v>127</v>
      </c>
      <c r="D8" s="103">
        <f>SUM(D3:D7)*1.2</f>
        <v>37.2</v>
      </c>
      <c r="E8" s="103">
        <f>SUM(E3:E7)*1.5</f>
        <v>39</v>
      </c>
      <c r="F8" s="103">
        <f t="shared" ref="F8:G8" si="2">SUM(F3:F7)*2</f>
        <v>22</v>
      </c>
      <c r="G8" s="103">
        <f t="shared" si="2"/>
        <v>4</v>
      </c>
      <c r="H8" s="104">
        <f>SUM(H3:H7) *-1</f>
        <v>-15</v>
      </c>
      <c r="I8" s="105">
        <f>SUM(C8:H8)</f>
        <v>214.2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337</v>
      </c>
      <c r="C12" s="60">
        <v>30.0</v>
      </c>
      <c r="D12" s="60">
        <v>5.0</v>
      </c>
      <c r="E12" s="60">
        <v>4.0</v>
      </c>
      <c r="F12" s="60">
        <v>0.0</v>
      </c>
      <c r="G12" s="60">
        <v>1.0</v>
      </c>
      <c r="H12" s="71">
        <v>2.0</v>
      </c>
      <c r="I12" s="73">
        <f t="shared" ref="I12:I16" si="3">sum(C12+1.2*D12+1.5*E12+2*F12+2*G12)-H12</f>
        <v>42</v>
      </c>
    </row>
    <row r="13">
      <c r="A13" s="76" t="s">
        <v>215</v>
      </c>
      <c r="B13" s="76" t="s">
        <v>92</v>
      </c>
      <c r="C13" s="60">
        <v>25.0</v>
      </c>
      <c r="D13" s="60">
        <v>3.0</v>
      </c>
      <c r="E13" s="60">
        <v>10.0</v>
      </c>
      <c r="F13" s="60">
        <v>3.0</v>
      </c>
      <c r="G13" s="60">
        <v>1.0</v>
      </c>
      <c r="H13" s="71">
        <v>3.0</v>
      </c>
      <c r="I13" s="73">
        <f t="shared" si="3"/>
        <v>48.6</v>
      </c>
    </row>
    <row r="14">
      <c r="A14" s="76" t="s">
        <v>216</v>
      </c>
      <c r="B14" s="76" t="s">
        <v>69</v>
      </c>
      <c r="C14" s="60">
        <v>36.0</v>
      </c>
      <c r="D14" s="60">
        <v>12.0</v>
      </c>
      <c r="E14" s="60">
        <v>4.0</v>
      </c>
      <c r="F14" s="60">
        <v>3.0</v>
      </c>
      <c r="G14" s="60">
        <v>0.0</v>
      </c>
      <c r="H14" s="71">
        <v>4.0</v>
      </c>
      <c r="I14" s="73">
        <f t="shared" si="3"/>
        <v>58.4</v>
      </c>
    </row>
    <row r="15">
      <c r="A15" s="76" t="s">
        <v>216</v>
      </c>
      <c r="B15" s="76" t="s">
        <v>81</v>
      </c>
      <c r="C15" s="60">
        <v>12.0</v>
      </c>
      <c r="D15" s="60">
        <v>7.0</v>
      </c>
      <c r="E15" s="60">
        <v>1.0</v>
      </c>
      <c r="F15" s="60">
        <v>1.0</v>
      </c>
      <c r="G15" s="60">
        <v>2.0</v>
      </c>
      <c r="H15" s="71">
        <v>0.0</v>
      </c>
      <c r="I15" s="73">
        <f t="shared" si="3"/>
        <v>27.9</v>
      </c>
    </row>
    <row r="16">
      <c r="A16" s="76" t="s">
        <v>216</v>
      </c>
      <c r="B16" s="70" t="s">
        <v>346</v>
      </c>
      <c r="C16" s="77">
        <v>9.0</v>
      </c>
      <c r="D16" s="77">
        <v>11.0</v>
      </c>
      <c r="E16" s="77">
        <v>3.0</v>
      </c>
      <c r="F16" s="77">
        <v>0.0</v>
      </c>
      <c r="G16" s="77">
        <v>2.0</v>
      </c>
      <c r="H16" s="78">
        <v>1.0</v>
      </c>
      <c r="I16" s="73">
        <f t="shared" si="3"/>
        <v>29.7</v>
      </c>
    </row>
    <row r="17">
      <c r="A17" s="96"/>
      <c r="B17" s="102" t="s">
        <v>217</v>
      </c>
      <c r="C17" s="103">
        <f>SUM(C12:C16)</f>
        <v>112</v>
      </c>
      <c r="D17" s="103">
        <f>SUM(D12:D16)*1.2</f>
        <v>45.6</v>
      </c>
      <c r="E17" s="103">
        <f>SUM(E12:E16)*1.5</f>
        <v>33</v>
      </c>
      <c r="F17" s="103">
        <f t="shared" ref="F17:G17" si="4">SUM(F12:F16)*2</f>
        <v>14</v>
      </c>
      <c r="G17" s="103">
        <f t="shared" si="4"/>
        <v>12</v>
      </c>
      <c r="H17" s="104">
        <f>SUM(H12:H16) *-1</f>
        <v>-10</v>
      </c>
      <c r="I17" s="105">
        <f>SUM(C17:H17)</f>
        <v>206.6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78</v>
      </c>
      <c r="C21" s="60">
        <v>19.0</v>
      </c>
      <c r="D21" s="60">
        <v>11.0</v>
      </c>
      <c r="E21" s="60">
        <v>8.0</v>
      </c>
      <c r="F21" s="60">
        <v>2.0</v>
      </c>
      <c r="G21" s="60">
        <v>0.0</v>
      </c>
      <c r="H21" s="71">
        <v>3.0</v>
      </c>
      <c r="I21" s="73">
        <f t="shared" ref="I21:I25" si="5">sum(C21+1.2*D21+1.5*E21+2*F21+2*G21)-H21</f>
        <v>45.2</v>
      </c>
    </row>
    <row r="22">
      <c r="A22" s="76" t="s">
        <v>215</v>
      </c>
      <c r="B22" s="76" t="s">
        <v>93</v>
      </c>
      <c r="C22" s="60">
        <v>15.0</v>
      </c>
      <c r="D22" s="60">
        <v>6.0</v>
      </c>
      <c r="E22" s="60">
        <v>9.0</v>
      </c>
      <c r="F22" s="60">
        <v>2.0</v>
      </c>
      <c r="G22" s="60">
        <v>1.0</v>
      </c>
      <c r="H22" s="71">
        <v>2.0</v>
      </c>
      <c r="I22" s="73">
        <f t="shared" si="5"/>
        <v>39.7</v>
      </c>
    </row>
    <row r="23">
      <c r="A23" s="76" t="s">
        <v>216</v>
      </c>
      <c r="B23" s="76" t="s">
        <v>111</v>
      </c>
      <c r="C23" s="60">
        <v>24.0</v>
      </c>
      <c r="D23" s="60">
        <v>12.0</v>
      </c>
      <c r="E23" s="60">
        <v>7.0</v>
      </c>
      <c r="F23" s="60">
        <v>1.0</v>
      </c>
      <c r="G23" s="60">
        <v>0.0</v>
      </c>
      <c r="H23" s="71">
        <v>2.0</v>
      </c>
      <c r="I23" s="73">
        <f t="shared" si="5"/>
        <v>48.9</v>
      </c>
    </row>
    <row r="24">
      <c r="A24" s="76" t="s">
        <v>216</v>
      </c>
      <c r="B24" s="76" t="s">
        <v>335</v>
      </c>
      <c r="C24" s="60">
        <v>13.0</v>
      </c>
      <c r="D24" s="60">
        <v>7.0</v>
      </c>
      <c r="E24" s="60">
        <v>0.0</v>
      </c>
      <c r="F24" s="60">
        <v>0.0</v>
      </c>
      <c r="G24" s="60">
        <v>2.0</v>
      </c>
      <c r="H24" s="71">
        <v>3.0</v>
      </c>
      <c r="I24" s="73">
        <f t="shared" si="5"/>
        <v>22.4</v>
      </c>
    </row>
    <row r="25">
      <c r="A25" s="76" t="s">
        <v>216</v>
      </c>
      <c r="B25" s="76" t="s">
        <v>114</v>
      </c>
      <c r="C25" s="60">
        <v>23.0</v>
      </c>
      <c r="D25" s="60">
        <v>10.0</v>
      </c>
      <c r="E25" s="60">
        <v>4.0</v>
      </c>
      <c r="F25" s="60">
        <v>0.0</v>
      </c>
      <c r="G25" s="60">
        <v>2.0</v>
      </c>
      <c r="H25" s="71">
        <v>4.0</v>
      </c>
      <c r="I25" s="73">
        <f t="shared" si="5"/>
        <v>41</v>
      </c>
    </row>
    <row r="26">
      <c r="A26" s="96"/>
      <c r="B26" s="108" t="s">
        <v>217</v>
      </c>
      <c r="C26" s="109">
        <f>SUM(C21:C25)</f>
        <v>94</v>
      </c>
      <c r="D26" s="109">
        <f>SUM(D21:D25)*1.2</f>
        <v>55.2</v>
      </c>
      <c r="E26" s="109">
        <f>SUM(E21:E25)*1.5</f>
        <v>42</v>
      </c>
      <c r="F26" s="109">
        <f t="shared" ref="F26:G26" si="6">SUM(F21:F25)*2</f>
        <v>10</v>
      </c>
      <c r="G26" s="109">
        <f t="shared" si="6"/>
        <v>10</v>
      </c>
      <c r="H26" s="109">
        <f>SUM(H21:H25) *-1</f>
        <v>-14</v>
      </c>
      <c r="I26" s="110">
        <f>SUM(C26:H26)</f>
        <v>197.2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0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108" t="s">
        <v>217</v>
      </c>
      <c r="C35" s="109">
        <f>SUM(C30:C34)</f>
        <v>0</v>
      </c>
      <c r="D35" s="109">
        <f>SUM(D30:D34)*1.2</f>
        <v>0</v>
      </c>
      <c r="E35" s="109">
        <f>SUM(E30:E34)*1.5</f>
        <v>0</v>
      </c>
      <c r="F35" s="109">
        <f t="shared" ref="F35:G35" si="8">SUM(F30:F34)*2</f>
        <v>0</v>
      </c>
      <c r="G35" s="109">
        <f t="shared" si="8"/>
        <v>0</v>
      </c>
      <c r="H35" s="109">
        <f>SUM(H30:H34) *-1</f>
        <v>0</v>
      </c>
      <c r="I35" s="110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337</v>
      </c>
      <c r="C3" s="60">
        <v>22.0</v>
      </c>
      <c r="D3" s="60">
        <v>2.0</v>
      </c>
      <c r="E3" s="60">
        <v>3.0</v>
      </c>
      <c r="F3" s="60">
        <v>0.0</v>
      </c>
      <c r="G3" s="60">
        <v>0.0</v>
      </c>
      <c r="H3" s="71">
        <v>4.0</v>
      </c>
      <c r="I3" s="72">
        <f t="shared" ref="I3:I7" si="1">sum(C3+1.2*D3+1.5*E3+2*F3+2*G3)-H3</f>
        <v>24.9</v>
      </c>
    </row>
    <row r="4">
      <c r="A4" s="76" t="s">
        <v>215</v>
      </c>
      <c r="B4" s="76" t="s">
        <v>347</v>
      </c>
      <c r="C4" s="60">
        <v>39.0</v>
      </c>
      <c r="D4" s="60">
        <v>4.0</v>
      </c>
      <c r="E4" s="60">
        <v>1.0</v>
      </c>
      <c r="F4" s="60">
        <v>2.0</v>
      </c>
      <c r="G4" s="60">
        <v>0.0</v>
      </c>
      <c r="H4" s="71">
        <v>4.0</v>
      </c>
      <c r="I4" s="72">
        <f t="shared" si="1"/>
        <v>45.3</v>
      </c>
    </row>
    <row r="5">
      <c r="A5" s="76" t="s">
        <v>216</v>
      </c>
      <c r="B5" s="76" t="s">
        <v>66</v>
      </c>
      <c r="C5" s="60">
        <v>34.0</v>
      </c>
      <c r="D5" s="60">
        <v>19.0</v>
      </c>
      <c r="E5" s="60">
        <v>7.0</v>
      </c>
      <c r="F5" s="60">
        <v>0.0</v>
      </c>
      <c r="G5" s="60">
        <v>1.0</v>
      </c>
      <c r="H5" s="71">
        <v>3.0</v>
      </c>
      <c r="I5" s="72">
        <f t="shared" si="1"/>
        <v>66.3</v>
      </c>
    </row>
    <row r="6">
      <c r="A6" s="76" t="s">
        <v>216</v>
      </c>
      <c r="B6" s="76" t="s">
        <v>70</v>
      </c>
      <c r="C6" s="60">
        <v>23.0</v>
      </c>
      <c r="D6" s="60">
        <v>12.0</v>
      </c>
      <c r="E6" s="60">
        <v>2.0</v>
      </c>
      <c r="F6" s="60">
        <v>2.0</v>
      </c>
      <c r="G6" s="60">
        <v>1.0</v>
      </c>
      <c r="H6" s="71">
        <v>3.0</v>
      </c>
      <c r="I6" s="72">
        <f t="shared" si="1"/>
        <v>43.4</v>
      </c>
    </row>
    <row r="7">
      <c r="A7" s="76" t="s">
        <v>216</v>
      </c>
      <c r="B7" s="70" t="s">
        <v>121</v>
      </c>
      <c r="C7" s="77">
        <v>0.0</v>
      </c>
      <c r="D7" s="77">
        <v>8.0</v>
      </c>
      <c r="E7" s="77">
        <v>2.0</v>
      </c>
      <c r="F7" s="77">
        <v>1.0</v>
      </c>
      <c r="G7" s="77">
        <v>1.0</v>
      </c>
      <c r="H7" s="78">
        <v>2.0</v>
      </c>
      <c r="I7" s="72">
        <f t="shared" si="1"/>
        <v>14.6</v>
      </c>
    </row>
    <row r="8">
      <c r="A8" s="96"/>
      <c r="B8" s="102" t="s">
        <v>217</v>
      </c>
      <c r="C8" s="103">
        <f>SUM(C3:C7)</f>
        <v>118</v>
      </c>
      <c r="D8" s="103">
        <f>SUM(D3:D7)*1.2</f>
        <v>54</v>
      </c>
      <c r="E8" s="103">
        <f>SUM(E3:E7)*1.5</f>
        <v>22.5</v>
      </c>
      <c r="F8" s="103">
        <f t="shared" ref="F8:G8" si="2">SUM(F3:F7)*2</f>
        <v>10</v>
      </c>
      <c r="G8" s="103">
        <f t="shared" si="2"/>
        <v>6</v>
      </c>
      <c r="H8" s="104">
        <f>SUM(H3:H7) *-1</f>
        <v>-16</v>
      </c>
      <c r="I8" s="105">
        <f>SUM(C8:H8)</f>
        <v>194.5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79</v>
      </c>
      <c r="C12" s="60">
        <v>29.0</v>
      </c>
      <c r="D12" s="60">
        <v>10.0</v>
      </c>
      <c r="E12" s="60">
        <v>10.0</v>
      </c>
      <c r="F12" s="60">
        <v>2.0</v>
      </c>
      <c r="G12" s="60">
        <v>0.0</v>
      </c>
      <c r="H12" s="71">
        <v>7.0</v>
      </c>
      <c r="I12" s="73">
        <f t="shared" ref="I12:I16" si="3">sum(C12+1.2*D12+1.5*E12+2*F12+2*G12)-H12</f>
        <v>53</v>
      </c>
    </row>
    <row r="13">
      <c r="A13" s="76" t="s">
        <v>215</v>
      </c>
      <c r="B13" s="76" t="s">
        <v>92</v>
      </c>
      <c r="C13" s="60">
        <v>26.0</v>
      </c>
      <c r="D13" s="60">
        <v>4.0</v>
      </c>
      <c r="E13" s="60">
        <v>6.0</v>
      </c>
      <c r="F13" s="60">
        <v>1.0</v>
      </c>
      <c r="G13" s="60">
        <v>1.0</v>
      </c>
      <c r="H13" s="71">
        <v>2.0</v>
      </c>
      <c r="I13" s="73">
        <f t="shared" si="3"/>
        <v>41.8</v>
      </c>
    </row>
    <row r="14">
      <c r="A14" s="76" t="s">
        <v>216</v>
      </c>
      <c r="B14" s="76" t="s">
        <v>335</v>
      </c>
      <c r="C14" s="60">
        <v>9.0</v>
      </c>
      <c r="D14" s="60">
        <v>5.0</v>
      </c>
      <c r="E14" s="60">
        <v>2.0</v>
      </c>
      <c r="F14" s="60">
        <v>0.0</v>
      </c>
      <c r="G14" s="60">
        <v>0.0</v>
      </c>
      <c r="H14" s="71">
        <v>0.0</v>
      </c>
      <c r="I14" s="73">
        <f t="shared" si="3"/>
        <v>18</v>
      </c>
    </row>
    <row r="15">
      <c r="A15" s="76" t="s">
        <v>216</v>
      </c>
      <c r="B15" s="76" t="s">
        <v>101</v>
      </c>
      <c r="C15" s="60">
        <v>21.0</v>
      </c>
      <c r="D15" s="60">
        <v>3.0</v>
      </c>
      <c r="E15" s="60">
        <v>1.0</v>
      </c>
      <c r="F15" s="60">
        <v>2.0</v>
      </c>
      <c r="G15" s="60">
        <v>0.0</v>
      </c>
      <c r="H15" s="71">
        <v>3.0</v>
      </c>
      <c r="I15" s="73">
        <f t="shared" si="3"/>
        <v>27.1</v>
      </c>
    </row>
    <row r="16">
      <c r="A16" s="76" t="s">
        <v>216</v>
      </c>
      <c r="B16" s="70" t="s">
        <v>81</v>
      </c>
      <c r="C16" s="77">
        <v>13.0</v>
      </c>
      <c r="D16" s="77">
        <v>9.0</v>
      </c>
      <c r="E16" s="77">
        <v>1.0</v>
      </c>
      <c r="F16" s="77">
        <v>1.0</v>
      </c>
      <c r="G16" s="77">
        <v>2.0</v>
      </c>
      <c r="H16" s="78">
        <v>3.0</v>
      </c>
      <c r="I16" s="73">
        <f t="shared" si="3"/>
        <v>28.3</v>
      </c>
    </row>
    <row r="17">
      <c r="A17" s="96"/>
      <c r="B17" s="102" t="s">
        <v>217</v>
      </c>
      <c r="C17" s="103">
        <f>SUM(C12:C16)</f>
        <v>98</v>
      </c>
      <c r="D17" s="103">
        <f>SUM(D12:D16)*1.2</f>
        <v>37.2</v>
      </c>
      <c r="E17" s="103">
        <f>SUM(E12:E16)*1.5</f>
        <v>30</v>
      </c>
      <c r="F17" s="103">
        <f t="shared" ref="F17:G17" si="4">SUM(F12:F16)*2</f>
        <v>12</v>
      </c>
      <c r="G17" s="103">
        <f t="shared" si="4"/>
        <v>6</v>
      </c>
      <c r="H17" s="104">
        <f>SUM(H12:H16) *-1</f>
        <v>-15</v>
      </c>
      <c r="I17" s="105">
        <f>SUM(C17:H17)</f>
        <v>168.2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73</v>
      </c>
      <c r="C21" s="60">
        <v>36.0</v>
      </c>
      <c r="D21" s="60">
        <v>3.0</v>
      </c>
      <c r="E21" s="60">
        <v>8.0</v>
      </c>
      <c r="F21" s="60">
        <v>0.0</v>
      </c>
      <c r="G21" s="60">
        <v>2.0</v>
      </c>
      <c r="H21" s="71">
        <v>0.0</v>
      </c>
      <c r="I21" s="73">
        <f t="shared" ref="I21:I25" si="5">sum(C21+1.2*D21+1.5*E21+2*F21+2*G21)-H21</f>
        <v>55.6</v>
      </c>
    </row>
    <row r="22">
      <c r="A22" s="76" t="s">
        <v>215</v>
      </c>
      <c r="B22" s="76" t="s">
        <v>72</v>
      </c>
      <c r="C22" s="60">
        <v>35.0</v>
      </c>
      <c r="D22" s="60">
        <v>3.0</v>
      </c>
      <c r="E22" s="60">
        <v>3.0</v>
      </c>
      <c r="F22" s="60">
        <v>0.0</v>
      </c>
      <c r="G22" s="60">
        <v>0.0</v>
      </c>
      <c r="H22" s="71">
        <v>4.0</v>
      </c>
      <c r="I22" s="73">
        <f t="shared" si="5"/>
        <v>39.1</v>
      </c>
    </row>
    <row r="23">
      <c r="A23" s="76" t="s">
        <v>216</v>
      </c>
      <c r="B23" s="76" t="s">
        <v>111</v>
      </c>
      <c r="C23" s="60">
        <v>20.0</v>
      </c>
      <c r="D23" s="60">
        <v>4.0</v>
      </c>
      <c r="E23" s="60">
        <v>4.0</v>
      </c>
      <c r="F23" s="60">
        <v>1.0</v>
      </c>
      <c r="G23" s="60">
        <v>1.0</v>
      </c>
      <c r="H23" s="71">
        <v>1.0</v>
      </c>
      <c r="I23" s="73">
        <f t="shared" si="5"/>
        <v>33.8</v>
      </c>
    </row>
    <row r="24">
      <c r="A24" s="76" t="s">
        <v>216</v>
      </c>
      <c r="B24" s="76" t="s">
        <v>80</v>
      </c>
      <c r="C24" s="60">
        <v>22.0</v>
      </c>
      <c r="D24" s="60">
        <v>9.0</v>
      </c>
      <c r="E24" s="60">
        <v>8.0</v>
      </c>
      <c r="F24" s="60">
        <v>2.0</v>
      </c>
      <c r="G24" s="60">
        <v>1.0</v>
      </c>
      <c r="H24" s="71">
        <v>0.0</v>
      </c>
      <c r="I24" s="73">
        <f t="shared" si="5"/>
        <v>50.8</v>
      </c>
    </row>
    <row r="25">
      <c r="A25" s="76" t="s">
        <v>216</v>
      </c>
      <c r="B25" s="76" t="s">
        <v>114</v>
      </c>
      <c r="C25" s="60">
        <v>17.0</v>
      </c>
      <c r="D25" s="60">
        <v>5.0</v>
      </c>
      <c r="E25" s="60">
        <v>1.0</v>
      </c>
      <c r="F25" s="60">
        <v>0.0</v>
      </c>
      <c r="G25" s="60">
        <v>4.0</v>
      </c>
      <c r="H25" s="71">
        <v>1.0</v>
      </c>
      <c r="I25" s="73">
        <f t="shared" si="5"/>
        <v>31.5</v>
      </c>
    </row>
    <row r="26">
      <c r="A26" s="96"/>
      <c r="B26" s="108" t="s">
        <v>217</v>
      </c>
      <c r="C26" s="109">
        <f>SUM(C21:C25)</f>
        <v>130</v>
      </c>
      <c r="D26" s="109">
        <f>SUM(D21:D25)*1.2</f>
        <v>28.8</v>
      </c>
      <c r="E26" s="109">
        <f>SUM(E21:E25)*1.5</f>
        <v>36</v>
      </c>
      <c r="F26" s="109">
        <f t="shared" ref="F26:G26" si="6">SUM(F21:F25)*2</f>
        <v>6</v>
      </c>
      <c r="G26" s="109">
        <f t="shared" si="6"/>
        <v>16</v>
      </c>
      <c r="H26" s="109">
        <f>SUM(H21:H25) *-1</f>
        <v>-6</v>
      </c>
      <c r="I26" s="110">
        <f>SUM(C26:H26)</f>
        <v>210.8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78</v>
      </c>
      <c r="C30" s="60">
        <v>16.0</v>
      </c>
      <c r="D30" s="60">
        <v>8.0</v>
      </c>
      <c r="E30" s="60">
        <v>7.0</v>
      </c>
      <c r="F30" s="60">
        <v>2.0</v>
      </c>
      <c r="G30" s="60">
        <v>0.0</v>
      </c>
      <c r="H30" s="71">
        <v>1.0</v>
      </c>
      <c r="I30" s="73">
        <f t="shared" ref="I30:I34" si="7">sum(C30+1.2*D30+1.5*E30+2*F30+2*G30)-H30</f>
        <v>39.1</v>
      </c>
    </row>
    <row r="31">
      <c r="A31" s="76" t="s">
        <v>215</v>
      </c>
      <c r="B31" s="76" t="s">
        <v>84</v>
      </c>
      <c r="C31" s="60">
        <v>17.0</v>
      </c>
      <c r="D31" s="60">
        <v>0.0</v>
      </c>
      <c r="E31" s="60">
        <v>9.0</v>
      </c>
      <c r="F31" s="60">
        <v>0.0</v>
      </c>
      <c r="G31" s="60">
        <v>0.0</v>
      </c>
      <c r="H31" s="71">
        <v>1.0</v>
      </c>
      <c r="I31" s="73">
        <f t="shared" si="7"/>
        <v>29.5</v>
      </c>
    </row>
    <row r="32">
      <c r="A32" s="76" t="s">
        <v>216</v>
      </c>
      <c r="B32" s="36" t="s">
        <v>89</v>
      </c>
      <c r="C32" s="60">
        <v>10.0</v>
      </c>
      <c r="D32" s="60">
        <v>8.0</v>
      </c>
      <c r="E32" s="60">
        <v>5.0</v>
      </c>
      <c r="F32" s="60">
        <v>2.0</v>
      </c>
      <c r="G32" s="60">
        <v>0.0</v>
      </c>
      <c r="H32" s="71">
        <v>0.0</v>
      </c>
      <c r="I32" s="73">
        <f t="shared" si="7"/>
        <v>31.1</v>
      </c>
    </row>
    <row r="33">
      <c r="A33" s="76" t="s">
        <v>216</v>
      </c>
      <c r="B33" s="76" t="s">
        <v>58</v>
      </c>
      <c r="C33" s="60">
        <v>4.0</v>
      </c>
      <c r="D33" s="60">
        <v>4.0</v>
      </c>
      <c r="E33" s="60">
        <v>2.0</v>
      </c>
      <c r="F33" s="60">
        <v>0.0</v>
      </c>
      <c r="G33" s="60">
        <v>1.0</v>
      </c>
      <c r="H33" s="71">
        <v>1.0</v>
      </c>
      <c r="I33" s="73">
        <f t="shared" si="7"/>
        <v>12.8</v>
      </c>
    </row>
    <row r="34">
      <c r="A34" s="76" t="s">
        <v>216</v>
      </c>
      <c r="B34" s="70" t="s">
        <v>85</v>
      </c>
      <c r="C34" s="60">
        <v>7.0</v>
      </c>
      <c r="D34" s="60">
        <v>9.0</v>
      </c>
      <c r="E34" s="60">
        <v>0.0</v>
      </c>
      <c r="F34" s="60">
        <v>0.0</v>
      </c>
      <c r="G34" s="60">
        <v>2.0</v>
      </c>
      <c r="H34" s="71">
        <v>0.0</v>
      </c>
      <c r="I34" s="73">
        <f t="shared" si="7"/>
        <v>21.8</v>
      </c>
    </row>
    <row r="35">
      <c r="A35" s="96"/>
      <c r="B35" s="108" t="s">
        <v>217</v>
      </c>
      <c r="C35" s="109">
        <f>SUM(C30:C34)</f>
        <v>54</v>
      </c>
      <c r="D35" s="109">
        <f>SUM(D30:D34)*1.2</f>
        <v>34.8</v>
      </c>
      <c r="E35" s="109">
        <f>SUM(E30:E34)*1.5</f>
        <v>34.5</v>
      </c>
      <c r="F35" s="109">
        <f t="shared" ref="F35:G35" si="8">SUM(F30:F34)*2</f>
        <v>8</v>
      </c>
      <c r="G35" s="109">
        <f t="shared" si="8"/>
        <v>6</v>
      </c>
      <c r="H35" s="109">
        <f>SUM(H30:H34) *-1</f>
        <v>-3</v>
      </c>
      <c r="I35" s="110">
        <f>SUM(C35:H35)</f>
        <v>134.3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36" t="s">
        <v>83</v>
      </c>
      <c r="C3" s="60">
        <v>15.0</v>
      </c>
      <c r="D3" s="60">
        <v>6.0</v>
      </c>
      <c r="E3" s="60">
        <v>6.0</v>
      </c>
      <c r="F3" s="60">
        <v>0.0</v>
      </c>
      <c r="G3" s="60">
        <v>1.0</v>
      </c>
      <c r="H3" s="71">
        <v>0.0</v>
      </c>
      <c r="I3" s="72">
        <f t="shared" ref="I3:I7" si="1">sum(C3+1.2*D3+1.5*E3+2*F3+2*G3)-H3</f>
        <v>33.2</v>
      </c>
    </row>
    <row r="4">
      <c r="A4" s="76" t="s">
        <v>215</v>
      </c>
      <c r="B4" s="76" t="s">
        <v>348</v>
      </c>
      <c r="C4" s="60">
        <v>15.0</v>
      </c>
      <c r="D4" s="60">
        <v>2.0</v>
      </c>
      <c r="E4" s="60">
        <v>4.0</v>
      </c>
      <c r="F4" s="60">
        <v>1.0</v>
      </c>
      <c r="G4" s="60">
        <v>0.0</v>
      </c>
      <c r="H4" s="71">
        <v>1.0</v>
      </c>
      <c r="I4" s="72">
        <f t="shared" si="1"/>
        <v>24.4</v>
      </c>
    </row>
    <row r="5">
      <c r="A5" s="76" t="s">
        <v>216</v>
      </c>
      <c r="B5" s="76" t="s">
        <v>66</v>
      </c>
      <c r="C5" s="60">
        <v>22.0</v>
      </c>
      <c r="D5" s="60">
        <v>9.0</v>
      </c>
      <c r="E5" s="60">
        <v>2.0</v>
      </c>
      <c r="F5" s="60">
        <v>0.0</v>
      </c>
      <c r="G5" s="60">
        <v>0.0</v>
      </c>
      <c r="H5" s="71">
        <v>3.0</v>
      </c>
      <c r="I5" s="72">
        <f t="shared" si="1"/>
        <v>32.8</v>
      </c>
    </row>
    <row r="6">
      <c r="A6" s="76" t="s">
        <v>216</v>
      </c>
      <c r="B6" s="76" t="s">
        <v>89</v>
      </c>
      <c r="C6" s="60">
        <v>5.0</v>
      </c>
      <c r="D6" s="60">
        <v>8.0</v>
      </c>
      <c r="E6" s="60">
        <v>3.0</v>
      </c>
      <c r="F6" s="60">
        <v>0.0</v>
      </c>
      <c r="G6" s="60">
        <v>1.0</v>
      </c>
      <c r="H6" s="71">
        <v>2.0</v>
      </c>
      <c r="I6" s="72">
        <f t="shared" si="1"/>
        <v>19.1</v>
      </c>
    </row>
    <row r="7">
      <c r="A7" s="76" t="s">
        <v>216</v>
      </c>
      <c r="B7" s="70" t="s">
        <v>114</v>
      </c>
      <c r="C7" s="77">
        <v>17.0</v>
      </c>
      <c r="D7" s="77">
        <v>8.0</v>
      </c>
      <c r="E7" s="77">
        <v>3.0</v>
      </c>
      <c r="F7" s="77">
        <v>0.0</v>
      </c>
      <c r="G7" s="77">
        <v>2.0</v>
      </c>
      <c r="H7" s="78">
        <v>1.0</v>
      </c>
      <c r="I7" s="72">
        <f t="shared" si="1"/>
        <v>34.1</v>
      </c>
    </row>
    <row r="8">
      <c r="A8" s="96"/>
      <c r="B8" s="102" t="s">
        <v>217</v>
      </c>
      <c r="C8" s="103">
        <f>SUM(C3:C7)</f>
        <v>74</v>
      </c>
      <c r="D8" s="103">
        <f>SUM(D3:D7)*1.2</f>
        <v>39.6</v>
      </c>
      <c r="E8" s="103">
        <f>SUM(E3:E7)*1.5</f>
        <v>27</v>
      </c>
      <c r="F8" s="103">
        <f t="shared" ref="F8:G8" si="2">SUM(F3:F7)*2</f>
        <v>2</v>
      </c>
      <c r="G8" s="103">
        <f t="shared" si="2"/>
        <v>8</v>
      </c>
      <c r="H8" s="104">
        <f>SUM(H3:H7) *-1</f>
        <v>-7</v>
      </c>
      <c r="I8" s="105">
        <f>SUM(C8:H8)</f>
        <v>143.6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27.0</v>
      </c>
      <c r="D12" s="60">
        <v>4.0</v>
      </c>
      <c r="E12" s="60">
        <v>4.0</v>
      </c>
      <c r="F12" s="60">
        <v>3.0</v>
      </c>
      <c r="G12" s="60">
        <v>0.0</v>
      </c>
      <c r="H12" s="71">
        <v>1.0</v>
      </c>
      <c r="I12" s="73">
        <f t="shared" ref="I12:I16" si="3">sum(C12+1.2*D12+1.5*E12+2*F12+2*G12)-H12</f>
        <v>42.8</v>
      </c>
    </row>
    <row r="13">
      <c r="A13" s="76" t="s">
        <v>215</v>
      </c>
      <c r="B13" s="76" t="s">
        <v>92</v>
      </c>
      <c r="C13" s="60">
        <v>15.0</v>
      </c>
      <c r="D13" s="60">
        <v>6.0</v>
      </c>
      <c r="E13" s="60">
        <v>9.0</v>
      </c>
      <c r="F13" s="60">
        <v>0.0</v>
      </c>
      <c r="G13" s="60">
        <v>2.0</v>
      </c>
      <c r="H13" s="71">
        <v>1.0</v>
      </c>
      <c r="I13" s="73">
        <f t="shared" si="3"/>
        <v>38.7</v>
      </c>
    </row>
    <row r="14">
      <c r="A14" s="76" t="s">
        <v>216</v>
      </c>
      <c r="B14" s="76" t="s">
        <v>58</v>
      </c>
      <c r="C14" s="60">
        <v>12.0</v>
      </c>
      <c r="D14" s="60">
        <v>8.0</v>
      </c>
      <c r="E14" s="60">
        <v>4.0</v>
      </c>
      <c r="F14" s="60">
        <v>0.0</v>
      </c>
      <c r="G14" s="60">
        <v>3.0</v>
      </c>
      <c r="H14" s="71">
        <v>2.0</v>
      </c>
      <c r="I14" s="73">
        <f t="shared" si="3"/>
        <v>31.6</v>
      </c>
    </row>
    <row r="15">
      <c r="A15" s="76" t="s">
        <v>216</v>
      </c>
      <c r="B15" s="76" t="s">
        <v>133</v>
      </c>
      <c r="C15" s="60">
        <v>10.0</v>
      </c>
      <c r="D15" s="60">
        <v>11.0</v>
      </c>
      <c r="E15" s="60">
        <v>1.0</v>
      </c>
      <c r="F15" s="60">
        <v>1.0</v>
      </c>
      <c r="G15" s="60">
        <v>0.0</v>
      </c>
      <c r="H15" s="71">
        <v>0.0</v>
      </c>
      <c r="I15" s="73">
        <f t="shared" si="3"/>
        <v>26.7</v>
      </c>
    </row>
    <row r="16">
      <c r="A16" s="76" t="s">
        <v>216</v>
      </c>
      <c r="B16" s="70" t="s">
        <v>110</v>
      </c>
      <c r="C16" s="77">
        <v>21.0</v>
      </c>
      <c r="D16" s="77">
        <v>4.0</v>
      </c>
      <c r="E16" s="77">
        <v>1.0</v>
      </c>
      <c r="F16" s="77">
        <v>1.0</v>
      </c>
      <c r="G16" s="77">
        <v>2.0</v>
      </c>
      <c r="H16" s="78">
        <v>0.0</v>
      </c>
      <c r="I16" s="73">
        <f t="shared" si="3"/>
        <v>33.3</v>
      </c>
    </row>
    <row r="17">
      <c r="A17" s="96"/>
      <c r="B17" s="102" t="s">
        <v>217</v>
      </c>
      <c r="C17" s="103">
        <f>SUM(C12:C16)</f>
        <v>85</v>
      </c>
      <c r="D17" s="103">
        <f>SUM(D12:D16)*1.2</f>
        <v>39.6</v>
      </c>
      <c r="E17" s="103">
        <f>SUM(E12:E16)*1.5</f>
        <v>28.5</v>
      </c>
      <c r="F17" s="103">
        <f t="shared" ref="F17:G17" si="4">SUM(F12:F16)*2</f>
        <v>10</v>
      </c>
      <c r="G17" s="103">
        <f t="shared" si="4"/>
        <v>14</v>
      </c>
      <c r="H17" s="104">
        <f>SUM(H12:H16) *-1</f>
        <v>-4</v>
      </c>
      <c r="I17" s="105">
        <f>SUM(C17:H17)</f>
        <v>173.1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84</v>
      </c>
      <c r="C21" s="60">
        <v>31.0</v>
      </c>
      <c r="D21" s="60">
        <v>1.0</v>
      </c>
      <c r="E21" s="60">
        <v>5.0</v>
      </c>
      <c r="F21" s="60">
        <v>0.0</v>
      </c>
      <c r="G21" s="60">
        <v>0.0</v>
      </c>
      <c r="H21" s="71">
        <v>1.0</v>
      </c>
      <c r="I21" s="73">
        <f t="shared" ref="I21:I25" si="5">sum(C21+1.2*D21+1.5*E21+2*F21+2*G21)-H21</f>
        <v>38.7</v>
      </c>
    </row>
    <row r="22">
      <c r="A22" s="76" t="s">
        <v>215</v>
      </c>
      <c r="B22" s="76" t="s">
        <v>347</v>
      </c>
      <c r="C22" s="60">
        <v>17.0</v>
      </c>
      <c r="D22" s="60">
        <v>4.0</v>
      </c>
      <c r="E22" s="60">
        <v>2.0</v>
      </c>
      <c r="F22" s="60">
        <v>2.0</v>
      </c>
      <c r="G22" s="60">
        <v>1.0</v>
      </c>
      <c r="H22" s="71">
        <v>0.0</v>
      </c>
      <c r="I22" s="73">
        <f t="shared" si="5"/>
        <v>30.8</v>
      </c>
    </row>
    <row r="23">
      <c r="A23" s="76" t="s">
        <v>216</v>
      </c>
      <c r="B23" s="76" t="s">
        <v>70</v>
      </c>
      <c r="C23" s="60">
        <v>10.0</v>
      </c>
      <c r="D23" s="60">
        <v>13.0</v>
      </c>
      <c r="E23" s="60">
        <v>5.0</v>
      </c>
      <c r="F23" s="60">
        <v>0.0</v>
      </c>
      <c r="G23" s="60">
        <v>0.0</v>
      </c>
      <c r="H23" s="71">
        <v>1.0</v>
      </c>
      <c r="I23" s="73">
        <f t="shared" si="5"/>
        <v>32.1</v>
      </c>
    </row>
    <row r="24">
      <c r="A24" s="76" t="s">
        <v>216</v>
      </c>
      <c r="B24" s="76" t="s">
        <v>121</v>
      </c>
      <c r="C24" s="60">
        <v>4.0</v>
      </c>
      <c r="D24" s="60">
        <v>7.0</v>
      </c>
      <c r="E24" s="60">
        <v>6.0</v>
      </c>
      <c r="F24" s="60">
        <v>1.0</v>
      </c>
      <c r="G24" s="60">
        <v>0.0</v>
      </c>
      <c r="H24" s="71">
        <v>1.0</v>
      </c>
      <c r="I24" s="73">
        <f t="shared" si="5"/>
        <v>22.4</v>
      </c>
    </row>
    <row r="25">
      <c r="A25" s="76" t="s">
        <v>216</v>
      </c>
      <c r="B25" s="76" t="s">
        <v>120</v>
      </c>
      <c r="C25" s="60">
        <v>8.0</v>
      </c>
      <c r="D25" s="60">
        <v>6.0</v>
      </c>
      <c r="E25" s="60">
        <v>4.0</v>
      </c>
      <c r="F25" s="60">
        <v>0.0</v>
      </c>
      <c r="G25" s="60">
        <v>0.0</v>
      </c>
      <c r="H25" s="71">
        <v>1.0</v>
      </c>
      <c r="I25" s="73">
        <f t="shared" si="5"/>
        <v>20.2</v>
      </c>
    </row>
    <row r="26">
      <c r="A26" s="96"/>
      <c r="B26" s="108" t="s">
        <v>217</v>
      </c>
      <c r="C26" s="109">
        <f>SUM(C21:C25)</f>
        <v>70</v>
      </c>
      <c r="D26" s="109">
        <f>SUM(D21:D25)*1.2</f>
        <v>37.2</v>
      </c>
      <c r="E26" s="109">
        <f>SUM(E21:E25)*1.5</f>
        <v>33</v>
      </c>
      <c r="F26" s="109">
        <f t="shared" ref="F26:G26" si="6">SUM(F21:F25)*2</f>
        <v>6</v>
      </c>
      <c r="G26" s="109">
        <f t="shared" si="6"/>
        <v>2</v>
      </c>
      <c r="H26" s="109">
        <f>SUM(H21:H25) *-1</f>
        <v>-4</v>
      </c>
      <c r="I26" s="110">
        <f>SUM(C26:H26)</f>
        <v>144.2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10.0</v>
      </c>
      <c r="D30" s="60">
        <v>2.0</v>
      </c>
      <c r="E30" s="60">
        <v>5.0</v>
      </c>
      <c r="F30" s="60">
        <v>1.0</v>
      </c>
      <c r="G30" s="60">
        <v>0.0</v>
      </c>
      <c r="H30" s="71">
        <v>2.0</v>
      </c>
      <c r="I30" s="73">
        <f t="shared" ref="I30:I34" si="7">sum(C30+1.2*D30+1.5*E30+2*F30+2*G30)-H30</f>
        <v>19.9</v>
      </c>
    </row>
    <row r="31">
      <c r="A31" s="76" t="s">
        <v>215</v>
      </c>
      <c r="B31" s="76" t="s">
        <v>130</v>
      </c>
      <c r="C31" s="60">
        <v>9.0</v>
      </c>
      <c r="D31" s="60">
        <v>0.0</v>
      </c>
      <c r="E31" s="60">
        <v>1.0</v>
      </c>
      <c r="F31" s="60">
        <v>0.0</v>
      </c>
      <c r="G31" s="60">
        <v>0.0</v>
      </c>
      <c r="H31" s="71">
        <v>0.0</v>
      </c>
      <c r="I31" s="73">
        <f t="shared" si="7"/>
        <v>10.5</v>
      </c>
    </row>
    <row r="32">
      <c r="A32" s="76" t="s">
        <v>216</v>
      </c>
      <c r="B32" s="36" t="s">
        <v>111</v>
      </c>
      <c r="C32" s="60">
        <v>25.0</v>
      </c>
      <c r="D32" s="60">
        <v>7.0</v>
      </c>
      <c r="E32" s="60">
        <v>5.0</v>
      </c>
      <c r="F32" s="60">
        <v>2.0</v>
      </c>
      <c r="G32" s="60">
        <v>0.0</v>
      </c>
      <c r="H32" s="71">
        <v>1.0</v>
      </c>
      <c r="I32" s="73">
        <f t="shared" si="7"/>
        <v>43.9</v>
      </c>
    </row>
    <row r="33">
      <c r="A33" s="76" t="s">
        <v>216</v>
      </c>
      <c r="B33" s="76" t="s">
        <v>81</v>
      </c>
      <c r="C33" s="60">
        <v>8.0</v>
      </c>
      <c r="D33" s="60">
        <v>14.0</v>
      </c>
      <c r="E33" s="60">
        <v>2.0</v>
      </c>
      <c r="F33" s="60">
        <v>1.0</v>
      </c>
      <c r="G33" s="60">
        <v>0.0</v>
      </c>
      <c r="H33" s="71">
        <v>1.0</v>
      </c>
      <c r="I33" s="73">
        <f t="shared" si="7"/>
        <v>28.8</v>
      </c>
    </row>
    <row r="34">
      <c r="A34" s="76" t="s">
        <v>216</v>
      </c>
      <c r="B34" s="70" t="s">
        <v>85</v>
      </c>
      <c r="C34" s="60">
        <v>8.0</v>
      </c>
      <c r="D34" s="60">
        <v>6.0</v>
      </c>
      <c r="E34" s="60">
        <v>1.0</v>
      </c>
      <c r="F34" s="60">
        <v>0.0</v>
      </c>
      <c r="G34" s="60">
        <v>1.0</v>
      </c>
      <c r="H34" s="71">
        <v>2.0</v>
      </c>
      <c r="I34" s="73">
        <f t="shared" si="7"/>
        <v>16.7</v>
      </c>
    </row>
    <row r="35">
      <c r="A35" s="96"/>
      <c r="B35" s="108" t="s">
        <v>217</v>
      </c>
      <c r="C35" s="109">
        <f>SUM(C30:C34)</f>
        <v>60</v>
      </c>
      <c r="D35" s="109">
        <f>SUM(D30:D34)*1.2</f>
        <v>34.8</v>
      </c>
      <c r="E35" s="109">
        <f>SUM(E30:E34)*1.5</f>
        <v>21</v>
      </c>
      <c r="F35" s="109">
        <f t="shared" ref="F35:G35" si="8">SUM(F30:F34)*2</f>
        <v>8</v>
      </c>
      <c r="G35" s="109">
        <f t="shared" si="8"/>
        <v>2</v>
      </c>
      <c r="H35" s="109">
        <f>SUM(H30:H34) *-1</f>
        <v>-6</v>
      </c>
      <c r="I35" s="110">
        <f>SUM(C35:H35)</f>
        <v>119.8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73</v>
      </c>
      <c r="C3" s="60">
        <v>30.0</v>
      </c>
      <c r="D3" s="60">
        <v>6.0</v>
      </c>
      <c r="E3" s="60">
        <v>8.0</v>
      </c>
      <c r="F3" s="60">
        <v>2.0</v>
      </c>
      <c r="G3" s="60">
        <v>1.0</v>
      </c>
      <c r="H3" s="71">
        <v>3.0</v>
      </c>
      <c r="I3" s="72">
        <f t="shared" ref="I3:I7" si="1">sum(C3+1.2*D3+1.5*E3+2*F3+2*G3)-H3</f>
        <v>52.2</v>
      </c>
    </row>
    <row r="4">
      <c r="A4" s="76" t="s">
        <v>215</v>
      </c>
      <c r="B4" s="76" t="s">
        <v>119</v>
      </c>
      <c r="C4" s="60">
        <v>11.0</v>
      </c>
      <c r="D4" s="60">
        <v>1.0</v>
      </c>
      <c r="E4" s="60">
        <v>0.0</v>
      </c>
      <c r="F4" s="60">
        <v>0.0</v>
      </c>
      <c r="G4" s="60">
        <v>0.0</v>
      </c>
      <c r="H4" s="71">
        <v>0.0</v>
      </c>
      <c r="I4" s="72">
        <f t="shared" si="1"/>
        <v>12.2</v>
      </c>
    </row>
    <row r="5">
      <c r="A5" s="76" t="s">
        <v>216</v>
      </c>
      <c r="B5" s="76" t="s">
        <v>335</v>
      </c>
      <c r="C5" s="60">
        <v>10.0</v>
      </c>
      <c r="D5" s="60">
        <v>10.0</v>
      </c>
      <c r="E5" s="60">
        <v>4.0</v>
      </c>
      <c r="F5" s="60">
        <v>1.0</v>
      </c>
      <c r="G5" s="60">
        <v>0.0</v>
      </c>
      <c r="H5" s="71">
        <v>3.0</v>
      </c>
      <c r="I5" s="72">
        <f t="shared" si="1"/>
        <v>27</v>
      </c>
    </row>
    <row r="6">
      <c r="A6" s="76" t="s">
        <v>216</v>
      </c>
      <c r="B6" s="76" t="s">
        <v>101</v>
      </c>
      <c r="C6" s="60">
        <v>13.0</v>
      </c>
      <c r="D6" s="60">
        <v>4.0</v>
      </c>
      <c r="E6" s="60">
        <v>1.0</v>
      </c>
      <c r="F6" s="60">
        <v>0.0</v>
      </c>
      <c r="G6" s="60">
        <v>1.0</v>
      </c>
      <c r="H6" s="71">
        <v>1.0</v>
      </c>
      <c r="I6" s="72">
        <f t="shared" si="1"/>
        <v>20.3</v>
      </c>
    </row>
    <row r="7">
      <c r="A7" s="76" t="s">
        <v>216</v>
      </c>
      <c r="B7" s="70" t="s">
        <v>349</v>
      </c>
      <c r="C7" s="77">
        <v>19.0</v>
      </c>
      <c r="D7" s="77">
        <v>1.0</v>
      </c>
      <c r="E7" s="77">
        <v>1.0</v>
      </c>
      <c r="F7" s="77">
        <v>1.0</v>
      </c>
      <c r="G7" s="77">
        <v>1.0</v>
      </c>
      <c r="H7" s="78">
        <v>0.0</v>
      </c>
      <c r="I7" s="72">
        <f t="shared" si="1"/>
        <v>25.7</v>
      </c>
    </row>
    <row r="8">
      <c r="A8" s="96"/>
      <c r="B8" s="102" t="s">
        <v>217</v>
      </c>
      <c r="C8" s="103">
        <f>SUM(C3:C7)</f>
        <v>83</v>
      </c>
      <c r="D8" s="103">
        <f>SUM(D3:D7)*1.2</f>
        <v>26.4</v>
      </c>
      <c r="E8" s="103">
        <f>SUM(E3:E7)*1.5</f>
        <v>21</v>
      </c>
      <c r="F8" s="103">
        <f t="shared" ref="F8:G8" si="2">SUM(F3:F7)*2</f>
        <v>8</v>
      </c>
      <c r="G8" s="103">
        <f t="shared" si="2"/>
        <v>6</v>
      </c>
      <c r="H8" s="104">
        <f>SUM(H3:H7) *-1</f>
        <v>-7</v>
      </c>
      <c r="I8" s="105">
        <f>SUM(C8:H8)</f>
        <v>137.4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79</v>
      </c>
      <c r="C12" s="60">
        <v>31.0</v>
      </c>
      <c r="D12" s="60">
        <v>10.0</v>
      </c>
      <c r="E12" s="60">
        <v>11.0</v>
      </c>
      <c r="F12" s="60">
        <v>0.0</v>
      </c>
      <c r="G12" s="60">
        <v>1.0</v>
      </c>
      <c r="H12" s="71">
        <v>3.0</v>
      </c>
      <c r="I12" s="73">
        <f t="shared" ref="I12:I16" si="3">sum(C12+1.2*D12+1.5*E12+2*F12+2*G12)-H12</f>
        <v>58.5</v>
      </c>
    </row>
    <row r="13">
      <c r="A13" s="76" t="s">
        <v>215</v>
      </c>
      <c r="B13" s="76" t="s">
        <v>44</v>
      </c>
      <c r="C13" s="60">
        <v>11.0</v>
      </c>
      <c r="D13" s="60">
        <v>0.0</v>
      </c>
      <c r="E13" s="60">
        <v>9.0</v>
      </c>
      <c r="F13" s="60">
        <v>2.0</v>
      </c>
      <c r="G13" s="60">
        <v>0.0</v>
      </c>
      <c r="H13" s="71">
        <v>2.0</v>
      </c>
      <c r="I13" s="73">
        <f t="shared" si="3"/>
        <v>26.5</v>
      </c>
    </row>
    <row r="14">
      <c r="A14" s="76" t="s">
        <v>216</v>
      </c>
      <c r="B14" s="76" t="s">
        <v>91</v>
      </c>
      <c r="C14" s="60">
        <v>33.0</v>
      </c>
      <c r="D14" s="60">
        <v>7.0</v>
      </c>
      <c r="E14" s="60">
        <v>4.0</v>
      </c>
      <c r="F14" s="60">
        <v>1.0</v>
      </c>
      <c r="G14" s="60">
        <v>2.0</v>
      </c>
      <c r="H14" s="71">
        <v>3.0</v>
      </c>
      <c r="I14" s="73">
        <f t="shared" si="3"/>
        <v>50.4</v>
      </c>
    </row>
    <row r="15">
      <c r="A15" s="76" t="s">
        <v>216</v>
      </c>
      <c r="B15" s="76" t="s">
        <v>338</v>
      </c>
      <c r="C15" s="60">
        <v>9.0</v>
      </c>
      <c r="D15" s="60">
        <v>7.0</v>
      </c>
      <c r="E15" s="60">
        <v>1.0</v>
      </c>
      <c r="F15" s="60">
        <v>0.0</v>
      </c>
      <c r="G15" s="60">
        <v>1.0</v>
      </c>
      <c r="H15" s="71">
        <v>1.0</v>
      </c>
      <c r="I15" s="73">
        <f t="shared" si="3"/>
        <v>19.9</v>
      </c>
    </row>
    <row r="16">
      <c r="A16" s="76" t="s">
        <v>216</v>
      </c>
      <c r="B16" s="70" t="s">
        <v>346</v>
      </c>
      <c r="C16" s="77">
        <v>11.0</v>
      </c>
      <c r="D16" s="77">
        <v>10.0</v>
      </c>
      <c r="E16" s="77">
        <v>1.0</v>
      </c>
      <c r="F16" s="77">
        <v>1.0</v>
      </c>
      <c r="G16" s="77">
        <v>1.0</v>
      </c>
      <c r="H16" s="78">
        <v>3.0</v>
      </c>
      <c r="I16" s="73">
        <f t="shared" si="3"/>
        <v>25.5</v>
      </c>
    </row>
    <row r="17">
      <c r="A17" s="96"/>
      <c r="B17" s="102" t="s">
        <v>217</v>
      </c>
      <c r="C17" s="103">
        <f>SUM(C12:C16)</f>
        <v>95</v>
      </c>
      <c r="D17" s="103">
        <f>SUM(D12:D16)*1.2</f>
        <v>40.8</v>
      </c>
      <c r="E17" s="103">
        <f>SUM(E12:E16)*1.5</f>
        <v>39</v>
      </c>
      <c r="F17" s="103">
        <f t="shared" ref="F17:G17" si="4">SUM(F12:F16)*2</f>
        <v>8</v>
      </c>
      <c r="G17" s="103">
        <f t="shared" si="4"/>
        <v>10</v>
      </c>
      <c r="H17" s="104">
        <f>SUM(H12:H16) *-1</f>
        <v>-12</v>
      </c>
      <c r="I17" s="105">
        <f>SUM(C17:H17)</f>
        <v>180.8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129</v>
      </c>
      <c r="C21" s="60">
        <v>13.0</v>
      </c>
      <c r="D21" s="60">
        <v>3.0</v>
      </c>
      <c r="E21" s="60">
        <v>4.0</v>
      </c>
      <c r="F21" s="60">
        <v>0.0</v>
      </c>
      <c r="G21" s="60">
        <v>0.0</v>
      </c>
      <c r="H21" s="71">
        <v>3.0</v>
      </c>
      <c r="I21" s="73">
        <f t="shared" ref="I21:I25" si="5">sum(C21+1.2*D21+1.5*E21+2*F21+2*G21)-H21</f>
        <v>19.6</v>
      </c>
    </row>
    <row r="22">
      <c r="A22" s="76" t="s">
        <v>215</v>
      </c>
      <c r="B22" s="36" t="s">
        <v>87</v>
      </c>
      <c r="C22" s="60">
        <v>0.0</v>
      </c>
      <c r="D22" s="60">
        <v>0.0</v>
      </c>
      <c r="E22" s="60">
        <v>0.0</v>
      </c>
      <c r="F22" s="60">
        <v>0.0</v>
      </c>
      <c r="G22" s="60">
        <v>0.0</v>
      </c>
      <c r="H22" s="71">
        <v>0.0</v>
      </c>
      <c r="I22" s="73">
        <f t="shared" si="5"/>
        <v>0</v>
      </c>
    </row>
    <row r="23">
      <c r="A23" s="76" t="s">
        <v>216</v>
      </c>
      <c r="B23" s="76" t="s">
        <v>69</v>
      </c>
      <c r="C23" s="60">
        <v>25.0</v>
      </c>
      <c r="D23" s="60">
        <v>10.0</v>
      </c>
      <c r="E23" s="60">
        <v>9.0</v>
      </c>
      <c r="F23" s="60">
        <v>4.0</v>
      </c>
      <c r="G23" s="60">
        <v>0.0</v>
      </c>
      <c r="H23" s="71">
        <v>1.0</v>
      </c>
      <c r="I23" s="73">
        <f t="shared" si="5"/>
        <v>57.5</v>
      </c>
    </row>
    <row r="24">
      <c r="A24" s="76" t="s">
        <v>216</v>
      </c>
      <c r="B24" s="76" t="s">
        <v>98</v>
      </c>
      <c r="C24" s="60">
        <v>11.0</v>
      </c>
      <c r="D24" s="60">
        <v>4.0</v>
      </c>
      <c r="E24" s="60">
        <v>7.0</v>
      </c>
      <c r="F24" s="60">
        <v>1.0</v>
      </c>
      <c r="G24" s="60">
        <v>1.0</v>
      </c>
      <c r="H24" s="71">
        <v>3.0</v>
      </c>
      <c r="I24" s="73">
        <f t="shared" si="5"/>
        <v>27.3</v>
      </c>
    </row>
    <row r="25">
      <c r="A25" s="76" t="s">
        <v>216</v>
      </c>
      <c r="B25" s="76" t="s">
        <v>102</v>
      </c>
      <c r="C25" s="60">
        <v>12.0</v>
      </c>
      <c r="D25" s="60">
        <v>7.0</v>
      </c>
      <c r="E25" s="60">
        <v>9.0</v>
      </c>
      <c r="F25" s="60">
        <v>0.0</v>
      </c>
      <c r="G25" s="60">
        <v>0.0</v>
      </c>
      <c r="H25" s="71">
        <v>1.0</v>
      </c>
      <c r="I25" s="73">
        <f t="shared" si="5"/>
        <v>32.9</v>
      </c>
    </row>
    <row r="26">
      <c r="A26" s="96"/>
      <c r="B26" s="108" t="s">
        <v>217</v>
      </c>
      <c r="C26" s="109">
        <f>SUM(C21:C25)</f>
        <v>61</v>
      </c>
      <c r="D26" s="109">
        <f>SUM(D21:D25)*1.2</f>
        <v>28.8</v>
      </c>
      <c r="E26" s="109">
        <f>SUM(E21:E25)*1.5</f>
        <v>43.5</v>
      </c>
      <c r="F26" s="109">
        <f t="shared" ref="F26:G26" si="6">SUM(F21:F25)*2</f>
        <v>10</v>
      </c>
      <c r="G26" s="109">
        <f t="shared" si="6"/>
        <v>2</v>
      </c>
      <c r="H26" s="109">
        <f>SUM(H21:H25) *-1</f>
        <v>-8</v>
      </c>
      <c r="I26" s="110">
        <f>SUM(C26:H26)</f>
        <v>137.3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337</v>
      </c>
      <c r="C30" s="60">
        <v>12.0</v>
      </c>
      <c r="D30" s="60">
        <v>2.0</v>
      </c>
      <c r="E30" s="60">
        <v>4.0</v>
      </c>
      <c r="F30" s="60">
        <v>1.0</v>
      </c>
      <c r="G30" s="60">
        <v>0.0</v>
      </c>
      <c r="H30" s="71">
        <v>1.0</v>
      </c>
      <c r="I30" s="73">
        <f t="shared" ref="I30:I34" si="7">sum(C30+1.2*D30+1.5*E30+2*F30+2*G30)-H30</f>
        <v>21.4</v>
      </c>
    </row>
    <row r="31">
      <c r="A31" s="76" t="s">
        <v>215</v>
      </c>
      <c r="B31" s="76" t="s">
        <v>93</v>
      </c>
      <c r="C31" s="60">
        <v>18.0</v>
      </c>
      <c r="D31" s="60">
        <v>5.0</v>
      </c>
      <c r="E31" s="60">
        <v>6.0</v>
      </c>
      <c r="F31" s="60">
        <v>0.0</v>
      </c>
      <c r="G31" s="60">
        <v>2.0</v>
      </c>
      <c r="H31" s="71">
        <v>0.0</v>
      </c>
      <c r="I31" s="73">
        <f t="shared" si="7"/>
        <v>37</v>
      </c>
    </row>
    <row r="32">
      <c r="A32" s="76" t="s">
        <v>216</v>
      </c>
      <c r="B32" s="36" t="s">
        <v>80</v>
      </c>
      <c r="C32" s="60">
        <v>12.0</v>
      </c>
      <c r="D32" s="60">
        <v>6.0</v>
      </c>
      <c r="E32" s="60">
        <v>3.0</v>
      </c>
      <c r="F32" s="60">
        <v>3.0</v>
      </c>
      <c r="G32" s="60">
        <v>0.0</v>
      </c>
      <c r="H32" s="71">
        <v>0.0</v>
      </c>
      <c r="I32" s="73">
        <f t="shared" si="7"/>
        <v>29.7</v>
      </c>
    </row>
    <row r="33">
      <c r="A33" s="76" t="s">
        <v>216</v>
      </c>
      <c r="B33" s="76" t="s">
        <v>350</v>
      </c>
      <c r="C33" s="60">
        <v>12.0</v>
      </c>
      <c r="D33" s="60">
        <v>6.0</v>
      </c>
      <c r="E33" s="60">
        <v>4.0</v>
      </c>
      <c r="F33" s="60">
        <v>2.0</v>
      </c>
      <c r="G33" s="60">
        <v>0.0</v>
      </c>
      <c r="H33" s="71">
        <v>1.0</v>
      </c>
      <c r="I33" s="73">
        <f t="shared" si="7"/>
        <v>28.2</v>
      </c>
    </row>
    <row r="34">
      <c r="A34" s="76" t="s">
        <v>216</v>
      </c>
      <c r="B34" s="70" t="s">
        <v>134</v>
      </c>
      <c r="C34" s="60">
        <v>22.0</v>
      </c>
      <c r="D34" s="60">
        <v>15.0</v>
      </c>
      <c r="E34" s="60">
        <v>5.0</v>
      </c>
      <c r="F34" s="60">
        <v>1.0</v>
      </c>
      <c r="G34" s="60">
        <v>3.0</v>
      </c>
      <c r="H34" s="71">
        <v>4.0</v>
      </c>
      <c r="I34" s="73">
        <f t="shared" si="7"/>
        <v>51.5</v>
      </c>
    </row>
    <row r="35">
      <c r="A35" s="96"/>
      <c r="B35" s="108" t="s">
        <v>217</v>
      </c>
      <c r="C35" s="109">
        <f>SUM(C30:C34)</f>
        <v>76</v>
      </c>
      <c r="D35" s="109">
        <f>SUM(D30:D34)*1.2</f>
        <v>40.8</v>
      </c>
      <c r="E35" s="109">
        <f>SUM(E30:E34)*1.5</f>
        <v>33</v>
      </c>
      <c r="F35" s="109">
        <f t="shared" ref="F35:G35" si="8">SUM(F30:F34)*2</f>
        <v>14</v>
      </c>
      <c r="G35" s="109">
        <f t="shared" si="8"/>
        <v>10</v>
      </c>
      <c r="H35" s="109">
        <f>SUM(H30:H34) *-1</f>
        <v>-6</v>
      </c>
      <c r="I35" s="110">
        <f>SUM(C35:H35)</f>
        <v>167.8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348</v>
      </c>
      <c r="C3" s="60">
        <v>7.0</v>
      </c>
      <c r="D3" s="60">
        <v>0.0</v>
      </c>
      <c r="E3" s="60">
        <v>5.0</v>
      </c>
      <c r="F3" s="60">
        <v>0.0</v>
      </c>
      <c r="G3" s="60">
        <v>0.0</v>
      </c>
      <c r="H3" s="71">
        <v>1.0</v>
      </c>
      <c r="I3" s="72">
        <f t="shared" ref="I3:I7" si="1">sum(C3+1.2*D3+1.5*E3+2*F3+2*G3)-H3</f>
        <v>13.5</v>
      </c>
    </row>
    <row r="4">
      <c r="A4" s="76" t="s">
        <v>215</v>
      </c>
      <c r="B4" s="76" t="s">
        <v>83</v>
      </c>
      <c r="C4" s="60">
        <v>11.0</v>
      </c>
      <c r="D4" s="60">
        <v>2.0</v>
      </c>
      <c r="E4" s="60">
        <v>4.0</v>
      </c>
      <c r="F4" s="60">
        <v>0.0</v>
      </c>
      <c r="G4" s="60">
        <v>1.0</v>
      </c>
      <c r="H4" s="71">
        <v>2.0</v>
      </c>
      <c r="I4" s="72">
        <f t="shared" si="1"/>
        <v>19.4</v>
      </c>
    </row>
    <row r="5">
      <c r="A5" s="76" t="s">
        <v>216</v>
      </c>
      <c r="B5" s="76" t="s">
        <v>66</v>
      </c>
      <c r="C5" s="60">
        <v>40.0</v>
      </c>
      <c r="D5" s="60">
        <v>7.0</v>
      </c>
      <c r="E5" s="60">
        <v>13.0</v>
      </c>
      <c r="F5" s="60">
        <v>2.0</v>
      </c>
      <c r="G5" s="60">
        <v>1.0</v>
      </c>
      <c r="H5" s="71">
        <v>0.0</v>
      </c>
      <c r="I5" s="72">
        <f t="shared" si="1"/>
        <v>73.9</v>
      </c>
    </row>
    <row r="6">
      <c r="A6" s="76" t="s">
        <v>216</v>
      </c>
      <c r="B6" s="76" t="s">
        <v>70</v>
      </c>
      <c r="C6" s="60">
        <v>23.0</v>
      </c>
      <c r="D6" s="60">
        <v>6.0</v>
      </c>
      <c r="E6" s="60">
        <v>4.0</v>
      </c>
      <c r="F6" s="60">
        <v>2.0</v>
      </c>
      <c r="G6" s="60">
        <v>0.0</v>
      </c>
      <c r="H6" s="71">
        <v>2.0</v>
      </c>
      <c r="I6" s="72">
        <f t="shared" si="1"/>
        <v>38.2</v>
      </c>
    </row>
    <row r="7">
      <c r="A7" s="76" t="s">
        <v>216</v>
      </c>
      <c r="B7" s="118" t="s">
        <v>114</v>
      </c>
      <c r="C7" s="77">
        <v>16.0</v>
      </c>
      <c r="D7" s="77">
        <v>5.0</v>
      </c>
      <c r="E7" s="77">
        <v>2.0</v>
      </c>
      <c r="F7" s="77">
        <v>2.0</v>
      </c>
      <c r="G7" s="77">
        <v>2.0</v>
      </c>
      <c r="H7" s="78">
        <v>4.0</v>
      </c>
      <c r="I7" s="72">
        <f t="shared" si="1"/>
        <v>29</v>
      </c>
    </row>
    <row r="8">
      <c r="A8" s="96"/>
      <c r="B8" s="102" t="s">
        <v>217</v>
      </c>
      <c r="C8" s="103">
        <f>SUM(C3:C7)</f>
        <v>97</v>
      </c>
      <c r="D8" s="103">
        <f>SUM(D3:D7)*1.2</f>
        <v>24</v>
      </c>
      <c r="E8" s="103">
        <f>SUM(E3:E7)*1.5</f>
        <v>42</v>
      </c>
      <c r="F8" s="103">
        <f t="shared" ref="F8:G8" si="2">SUM(F3:F7)*2</f>
        <v>12</v>
      </c>
      <c r="G8" s="103">
        <f t="shared" si="2"/>
        <v>8</v>
      </c>
      <c r="H8" s="104">
        <f>SUM(H3:H7) *-1</f>
        <v>-9</v>
      </c>
      <c r="I8" s="105">
        <f>SUM(C8:H8)</f>
        <v>174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18.0</v>
      </c>
      <c r="D12" s="60">
        <v>4.0</v>
      </c>
      <c r="E12" s="60">
        <v>9.0</v>
      </c>
      <c r="F12" s="60">
        <v>1.0</v>
      </c>
      <c r="G12" s="60">
        <v>0.0</v>
      </c>
      <c r="H12" s="71">
        <v>4.0</v>
      </c>
      <c r="I12" s="73">
        <f t="shared" ref="I12:I16" si="3">sum(C12+1.2*D12+1.5*E12+2*F12+2*G12)-H12</f>
        <v>34.3</v>
      </c>
    </row>
    <row r="13">
      <c r="A13" s="76" t="s">
        <v>215</v>
      </c>
      <c r="B13" s="76" t="s">
        <v>92</v>
      </c>
      <c r="C13" s="60">
        <v>13.0</v>
      </c>
      <c r="D13" s="60">
        <v>2.0</v>
      </c>
      <c r="E13" s="60">
        <v>5.0</v>
      </c>
      <c r="F13" s="60">
        <v>2.0</v>
      </c>
      <c r="G13" s="60">
        <v>2.0</v>
      </c>
      <c r="H13" s="71">
        <v>2.0</v>
      </c>
      <c r="I13" s="73">
        <f t="shared" si="3"/>
        <v>28.9</v>
      </c>
    </row>
    <row r="14">
      <c r="A14" s="76" t="s">
        <v>216</v>
      </c>
      <c r="B14" s="76" t="s">
        <v>58</v>
      </c>
      <c r="C14" s="60">
        <v>18.0</v>
      </c>
      <c r="D14" s="60">
        <v>10.0</v>
      </c>
      <c r="E14" s="60">
        <v>5.0</v>
      </c>
      <c r="F14" s="60">
        <v>1.0</v>
      </c>
      <c r="G14" s="60">
        <v>0.0</v>
      </c>
      <c r="H14" s="71">
        <v>2.0</v>
      </c>
      <c r="I14" s="73">
        <f t="shared" si="3"/>
        <v>37.5</v>
      </c>
    </row>
    <row r="15">
      <c r="A15" s="76" t="s">
        <v>216</v>
      </c>
      <c r="B15" s="76" t="s">
        <v>121</v>
      </c>
      <c r="C15" s="60">
        <v>7.0</v>
      </c>
      <c r="D15" s="60">
        <v>17.0</v>
      </c>
      <c r="E15" s="60">
        <v>5.0</v>
      </c>
      <c r="F15" s="60">
        <v>0.0</v>
      </c>
      <c r="G15" s="60">
        <v>1.0</v>
      </c>
      <c r="H15" s="71">
        <v>1.0</v>
      </c>
      <c r="I15" s="73">
        <f t="shared" si="3"/>
        <v>35.9</v>
      </c>
    </row>
    <row r="16">
      <c r="A16" s="76" t="s">
        <v>216</v>
      </c>
      <c r="B16" s="118" t="s">
        <v>133</v>
      </c>
      <c r="C16" s="77">
        <v>7.0</v>
      </c>
      <c r="D16" s="77">
        <v>3.0</v>
      </c>
      <c r="E16" s="77">
        <v>0.0</v>
      </c>
      <c r="F16" s="77">
        <v>0.0</v>
      </c>
      <c r="G16" s="77">
        <v>1.0</v>
      </c>
      <c r="H16" s="78">
        <v>1.0</v>
      </c>
      <c r="I16" s="73">
        <f t="shared" si="3"/>
        <v>11.6</v>
      </c>
    </row>
    <row r="17">
      <c r="A17" s="96"/>
      <c r="B17" s="102" t="s">
        <v>217</v>
      </c>
      <c r="C17" s="103">
        <f>SUM(C12:C16)</f>
        <v>63</v>
      </c>
      <c r="D17" s="103">
        <f>SUM(D12:D16)*1.2</f>
        <v>43.2</v>
      </c>
      <c r="E17" s="103">
        <f>SUM(E12:E16)*1.5</f>
        <v>36</v>
      </c>
      <c r="F17" s="103">
        <f t="shared" ref="F17:G17" si="4">SUM(F12:F16)*2</f>
        <v>8</v>
      </c>
      <c r="G17" s="103">
        <f t="shared" si="4"/>
        <v>8</v>
      </c>
      <c r="H17" s="104">
        <f>SUM(H12:H16) *-1</f>
        <v>-10</v>
      </c>
      <c r="I17" s="105">
        <f>SUM(C17:H17)</f>
        <v>148.2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84</v>
      </c>
      <c r="C21" s="60">
        <v>44.0</v>
      </c>
      <c r="D21" s="60">
        <v>4.0</v>
      </c>
      <c r="E21" s="60">
        <v>7.0</v>
      </c>
      <c r="F21" s="60">
        <v>0.0</v>
      </c>
      <c r="G21" s="60">
        <v>0.0</v>
      </c>
      <c r="H21" s="71">
        <v>3.0</v>
      </c>
      <c r="I21" s="73">
        <f t="shared" ref="I21:I25" si="5">sum(C21+1.2*D21+1.5*E21+2*F21+2*G21)-H21</f>
        <v>56.3</v>
      </c>
    </row>
    <row r="22">
      <c r="A22" s="76" t="s">
        <v>215</v>
      </c>
      <c r="B22" s="76" t="s">
        <v>347</v>
      </c>
      <c r="C22" s="60">
        <v>8.0</v>
      </c>
      <c r="D22" s="60">
        <v>7.0</v>
      </c>
      <c r="E22" s="60">
        <v>4.0</v>
      </c>
      <c r="F22" s="60">
        <v>3.0</v>
      </c>
      <c r="G22" s="60">
        <v>1.0</v>
      </c>
      <c r="H22" s="71">
        <v>1.0</v>
      </c>
      <c r="I22" s="73">
        <f t="shared" si="5"/>
        <v>29.4</v>
      </c>
    </row>
    <row r="23">
      <c r="A23" s="76" t="s">
        <v>216</v>
      </c>
      <c r="B23" s="76" t="s">
        <v>89</v>
      </c>
      <c r="C23" s="60">
        <v>18.0</v>
      </c>
      <c r="D23" s="60">
        <v>11.0</v>
      </c>
      <c r="E23" s="60">
        <v>3.0</v>
      </c>
      <c r="F23" s="60">
        <v>1.0</v>
      </c>
      <c r="G23" s="60">
        <v>1.0</v>
      </c>
      <c r="H23" s="71">
        <v>3.0</v>
      </c>
      <c r="I23" s="73">
        <f t="shared" si="5"/>
        <v>36.7</v>
      </c>
    </row>
    <row r="24">
      <c r="A24" s="76" t="s">
        <v>216</v>
      </c>
      <c r="B24" s="76" t="s">
        <v>81</v>
      </c>
      <c r="C24" s="60">
        <v>18.0</v>
      </c>
      <c r="D24" s="60">
        <v>11.0</v>
      </c>
      <c r="E24" s="60">
        <v>3.0</v>
      </c>
      <c r="F24" s="60">
        <v>2.0</v>
      </c>
      <c r="G24" s="60">
        <v>2.0</v>
      </c>
      <c r="H24" s="71">
        <v>1.0</v>
      </c>
      <c r="I24" s="73">
        <f t="shared" si="5"/>
        <v>42.7</v>
      </c>
    </row>
    <row r="25">
      <c r="A25" s="76" t="s">
        <v>216</v>
      </c>
      <c r="B25" s="76" t="s">
        <v>120</v>
      </c>
      <c r="C25" s="60">
        <v>8.0</v>
      </c>
      <c r="D25" s="60">
        <v>4.0</v>
      </c>
      <c r="E25" s="60">
        <v>2.0</v>
      </c>
      <c r="F25" s="60">
        <v>0.0</v>
      </c>
      <c r="G25" s="60">
        <v>0.0</v>
      </c>
      <c r="H25" s="71">
        <v>2.0</v>
      </c>
      <c r="I25" s="73">
        <f t="shared" si="5"/>
        <v>13.8</v>
      </c>
    </row>
    <row r="26">
      <c r="A26" s="96"/>
      <c r="B26" s="108" t="s">
        <v>217</v>
      </c>
      <c r="C26" s="109">
        <f>SUM(C21:C25)</f>
        <v>96</v>
      </c>
      <c r="D26" s="109">
        <f>SUM(D21:D25)*1.2</f>
        <v>44.4</v>
      </c>
      <c r="E26" s="109">
        <f>SUM(E21:E25)*1.5</f>
        <v>28.5</v>
      </c>
      <c r="F26" s="109">
        <f t="shared" ref="F26:G26" si="6">SUM(F21:F25)*2</f>
        <v>12</v>
      </c>
      <c r="G26" s="109">
        <f t="shared" si="6"/>
        <v>8</v>
      </c>
      <c r="H26" s="109">
        <f>SUM(H21:H25) *-1</f>
        <v>-10</v>
      </c>
      <c r="I26" s="110">
        <f>SUM(C26:H26)</f>
        <v>178.9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72</v>
      </c>
      <c r="C30" s="60">
        <v>16.0</v>
      </c>
      <c r="D30" s="60">
        <v>1.0</v>
      </c>
      <c r="E30" s="60">
        <v>4.0</v>
      </c>
      <c r="F30" s="60">
        <v>1.0</v>
      </c>
      <c r="G30" s="60">
        <v>0.0</v>
      </c>
      <c r="H30" s="71">
        <v>2.0</v>
      </c>
      <c r="I30" s="73">
        <f t="shared" ref="I30:I34" si="7">sum(C30+1.2*D30+1.5*E30+2*F30+2*G30)-H30</f>
        <v>23.2</v>
      </c>
    </row>
    <row r="31">
      <c r="A31" s="76" t="s">
        <v>215</v>
      </c>
      <c r="B31" s="76" t="s">
        <v>334</v>
      </c>
      <c r="C31" s="60">
        <v>0.0</v>
      </c>
      <c r="D31" s="60">
        <v>0.0</v>
      </c>
      <c r="E31" s="60">
        <v>0.0</v>
      </c>
      <c r="F31" s="60">
        <v>0.0</v>
      </c>
      <c r="G31" s="60">
        <v>0.0</v>
      </c>
      <c r="H31" s="71">
        <v>0.0</v>
      </c>
      <c r="I31" s="73">
        <f t="shared" si="7"/>
        <v>0</v>
      </c>
    </row>
    <row r="32">
      <c r="A32" s="76" t="s">
        <v>216</v>
      </c>
      <c r="B32" s="36" t="s">
        <v>111</v>
      </c>
      <c r="C32" s="60">
        <v>22.0</v>
      </c>
      <c r="D32" s="60">
        <v>8.0</v>
      </c>
      <c r="E32" s="60">
        <v>2.0</v>
      </c>
      <c r="F32" s="60">
        <v>1.0</v>
      </c>
      <c r="G32" s="60">
        <v>0.0</v>
      </c>
      <c r="H32" s="71">
        <v>2.0</v>
      </c>
      <c r="I32" s="73">
        <f t="shared" si="7"/>
        <v>34.6</v>
      </c>
    </row>
    <row r="33">
      <c r="A33" s="76" t="s">
        <v>216</v>
      </c>
      <c r="B33" s="76" t="s">
        <v>351</v>
      </c>
      <c r="C33" s="60">
        <v>6.0</v>
      </c>
      <c r="D33" s="60">
        <v>7.0</v>
      </c>
      <c r="E33" s="60">
        <v>1.0</v>
      </c>
      <c r="F33" s="60">
        <v>0.0</v>
      </c>
      <c r="G33" s="60">
        <v>2.0</v>
      </c>
      <c r="H33" s="71">
        <v>2.0</v>
      </c>
      <c r="I33" s="73">
        <f t="shared" si="7"/>
        <v>17.9</v>
      </c>
    </row>
    <row r="34">
      <c r="A34" s="76" t="s">
        <v>216</v>
      </c>
      <c r="B34" s="70" t="s">
        <v>132</v>
      </c>
      <c r="C34" s="60">
        <v>7.0</v>
      </c>
      <c r="D34" s="60">
        <v>5.0</v>
      </c>
      <c r="E34" s="60">
        <v>2.0</v>
      </c>
      <c r="F34" s="60">
        <v>0.0</v>
      </c>
      <c r="G34" s="60">
        <v>0.0</v>
      </c>
      <c r="H34" s="71">
        <v>1.0</v>
      </c>
      <c r="I34" s="73">
        <f t="shared" si="7"/>
        <v>15</v>
      </c>
    </row>
    <row r="35">
      <c r="A35" s="96"/>
      <c r="B35" s="108" t="s">
        <v>217</v>
      </c>
      <c r="C35" s="109">
        <f>SUM(C30:C34)</f>
        <v>51</v>
      </c>
      <c r="D35" s="109">
        <f>SUM(D30:D34)*1.2</f>
        <v>25.2</v>
      </c>
      <c r="E35" s="109">
        <f>SUM(E30:E34)*1.5</f>
        <v>13.5</v>
      </c>
      <c r="F35" s="109">
        <f t="shared" ref="F35:G35" si="8">SUM(F30:F34)*2</f>
        <v>4</v>
      </c>
      <c r="G35" s="109">
        <f t="shared" si="8"/>
        <v>4</v>
      </c>
      <c r="H35" s="109">
        <f>SUM(H30:H34) *-1</f>
        <v>-7</v>
      </c>
      <c r="I35" s="110">
        <f>SUM(C35:H35)</f>
        <v>90.7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79</v>
      </c>
      <c r="C3" s="60">
        <v>18.0</v>
      </c>
      <c r="D3" s="60">
        <v>12.0</v>
      </c>
      <c r="E3" s="60">
        <v>10.0</v>
      </c>
      <c r="F3" s="60">
        <v>2.0</v>
      </c>
      <c r="G3" s="60">
        <v>1.0</v>
      </c>
      <c r="H3" s="71">
        <v>7.0</v>
      </c>
      <c r="I3" s="72">
        <f t="shared" ref="I3:I7" si="1">sum(C3+1.2*D3+1.5*E3+2*F3+2*G3)-H3</f>
        <v>46.4</v>
      </c>
    </row>
    <row r="4">
      <c r="A4" s="76" t="s">
        <v>215</v>
      </c>
      <c r="B4" s="76" t="s">
        <v>93</v>
      </c>
      <c r="C4" s="60">
        <v>5.0</v>
      </c>
      <c r="D4" s="60">
        <v>7.0</v>
      </c>
      <c r="E4" s="60">
        <v>3.0</v>
      </c>
      <c r="F4" s="60">
        <v>1.0</v>
      </c>
      <c r="G4" s="60">
        <v>0.0</v>
      </c>
      <c r="H4" s="71">
        <v>0.0</v>
      </c>
      <c r="I4" s="72">
        <f t="shared" si="1"/>
        <v>19.9</v>
      </c>
    </row>
    <row r="5">
      <c r="A5" s="76" t="s">
        <v>216</v>
      </c>
      <c r="B5" s="76" t="s">
        <v>80</v>
      </c>
      <c r="C5" s="60">
        <v>14.0</v>
      </c>
      <c r="D5" s="60">
        <v>9.0</v>
      </c>
      <c r="E5" s="60">
        <v>6.0</v>
      </c>
      <c r="F5" s="60">
        <v>4.0</v>
      </c>
      <c r="G5" s="60">
        <v>0.0</v>
      </c>
      <c r="H5" s="71">
        <v>2.0</v>
      </c>
      <c r="I5" s="72">
        <f t="shared" si="1"/>
        <v>39.8</v>
      </c>
    </row>
    <row r="6">
      <c r="A6" s="76" t="s">
        <v>216</v>
      </c>
      <c r="B6" s="76" t="s">
        <v>101</v>
      </c>
      <c r="C6" s="60">
        <v>18.0</v>
      </c>
      <c r="D6" s="60">
        <v>9.0</v>
      </c>
      <c r="E6" s="60">
        <v>0.0</v>
      </c>
      <c r="F6" s="60">
        <v>1.0</v>
      </c>
      <c r="G6" s="60">
        <v>4.0</v>
      </c>
      <c r="H6" s="71">
        <v>0.0</v>
      </c>
      <c r="I6" s="72">
        <f t="shared" si="1"/>
        <v>38.8</v>
      </c>
    </row>
    <row r="7">
      <c r="A7" s="76" t="s">
        <v>216</v>
      </c>
      <c r="B7" s="118" t="s">
        <v>350</v>
      </c>
      <c r="C7" s="77">
        <v>17.0</v>
      </c>
      <c r="D7" s="77">
        <v>8.0</v>
      </c>
      <c r="E7" s="77">
        <v>0.0</v>
      </c>
      <c r="F7" s="77">
        <v>0.0</v>
      </c>
      <c r="G7" s="77">
        <v>1.0</v>
      </c>
      <c r="H7" s="78">
        <v>0.0</v>
      </c>
      <c r="I7" s="72">
        <f t="shared" si="1"/>
        <v>28.6</v>
      </c>
    </row>
    <row r="8">
      <c r="A8" s="96"/>
      <c r="B8" s="102" t="s">
        <v>217</v>
      </c>
      <c r="C8" s="103">
        <f>SUM(C3:C7)</f>
        <v>72</v>
      </c>
      <c r="D8" s="103">
        <f>SUM(D3:D7)*1.2</f>
        <v>54</v>
      </c>
      <c r="E8" s="103">
        <f>SUM(E3:E7)*1.5</f>
        <v>28.5</v>
      </c>
      <c r="F8" s="103">
        <f t="shared" ref="F8:G8" si="2">SUM(F3:F7)*2</f>
        <v>16</v>
      </c>
      <c r="G8" s="103">
        <f t="shared" si="2"/>
        <v>12</v>
      </c>
      <c r="H8" s="104">
        <f>SUM(H3:H7) *-1</f>
        <v>-9</v>
      </c>
      <c r="I8" s="105">
        <f>SUM(C8:H8)</f>
        <v>173.5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73</v>
      </c>
      <c r="C12" s="60">
        <v>34.0</v>
      </c>
      <c r="D12" s="60">
        <v>8.0</v>
      </c>
      <c r="E12" s="60">
        <v>5.0</v>
      </c>
      <c r="F12" s="60">
        <v>2.0</v>
      </c>
      <c r="G12" s="60">
        <v>2.0</v>
      </c>
      <c r="H12" s="71">
        <v>0.0</v>
      </c>
      <c r="I12" s="73">
        <f t="shared" ref="I12:I16" si="3">sum(C12+1.2*D12+1.5*E12+2*F12+2*G12)-H12</f>
        <v>59.1</v>
      </c>
    </row>
    <row r="13">
      <c r="A13" s="76" t="s">
        <v>215</v>
      </c>
      <c r="B13" s="76" t="s">
        <v>337</v>
      </c>
      <c r="C13" s="60">
        <v>9.0</v>
      </c>
      <c r="D13" s="60">
        <v>1.0</v>
      </c>
      <c r="E13" s="60">
        <v>9.0</v>
      </c>
      <c r="F13" s="60">
        <v>0.0</v>
      </c>
      <c r="G13" s="60">
        <v>0.0</v>
      </c>
      <c r="H13" s="71">
        <v>1.0</v>
      </c>
      <c r="I13" s="73">
        <f t="shared" si="3"/>
        <v>22.7</v>
      </c>
    </row>
    <row r="14">
      <c r="A14" s="76" t="s">
        <v>216</v>
      </c>
      <c r="B14" s="76" t="s">
        <v>335</v>
      </c>
      <c r="C14" s="60">
        <v>21.0</v>
      </c>
      <c r="D14" s="60">
        <v>12.0</v>
      </c>
      <c r="E14" s="60">
        <v>0.0</v>
      </c>
      <c r="F14" s="60">
        <v>0.0</v>
      </c>
      <c r="G14" s="60">
        <v>1.0</v>
      </c>
      <c r="H14" s="71">
        <v>3.0</v>
      </c>
      <c r="I14" s="73">
        <f t="shared" si="3"/>
        <v>34.4</v>
      </c>
    </row>
    <row r="15">
      <c r="A15" s="76" t="s">
        <v>216</v>
      </c>
      <c r="B15" s="76" t="s">
        <v>134</v>
      </c>
      <c r="C15" s="60">
        <v>6.0</v>
      </c>
      <c r="D15" s="60">
        <v>6.0</v>
      </c>
      <c r="E15" s="60">
        <v>0.0</v>
      </c>
      <c r="F15" s="60">
        <v>0.0</v>
      </c>
      <c r="G15" s="60">
        <v>1.0</v>
      </c>
      <c r="H15" s="71">
        <v>0.0</v>
      </c>
      <c r="I15" s="73">
        <f t="shared" si="3"/>
        <v>15.2</v>
      </c>
    </row>
    <row r="16">
      <c r="A16" s="76" t="s">
        <v>216</v>
      </c>
      <c r="B16" s="118" t="s">
        <v>102</v>
      </c>
      <c r="C16" s="77">
        <v>15.0</v>
      </c>
      <c r="D16" s="77">
        <v>7.0</v>
      </c>
      <c r="E16" s="77">
        <v>7.0</v>
      </c>
      <c r="F16" s="77">
        <v>2.0</v>
      </c>
      <c r="G16" s="77">
        <v>0.0</v>
      </c>
      <c r="H16" s="78">
        <v>1.0</v>
      </c>
      <c r="I16" s="73">
        <f t="shared" si="3"/>
        <v>36.9</v>
      </c>
    </row>
    <row r="17">
      <c r="A17" s="96"/>
      <c r="B17" s="102" t="s">
        <v>217</v>
      </c>
      <c r="C17" s="103">
        <f>SUM(C12:C16)</f>
        <v>85</v>
      </c>
      <c r="D17" s="103">
        <f>SUM(D12:D16)*1.2</f>
        <v>40.8</v>
      </c>
      <c r="E17" s="103">
        <f>SUM(E12:E16)*1.5</f>
        <v>31.5</v>
      </c>
      <c r="F17" s="103">
        <f t="shared" ref="F17:G17" si="4">SUM(F12:F16)*2</f>
        <v>8</v>
      </c>
      <c r="G17" s="103">
        <f t="shared" si="4"/>
        <v>8</v>
      </c>
      <c r="H17" s="104">
        <f>SUM(H12:H16) *-1</f>
        <v>-5</v>
      </c>
      <c r="I17" s="105">
        <f>SUM(C17:H17)</f>
        <v>168.3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87</v>
      </c>
      <c r="C21" s="60">
        <v>0.0</v>
      </c>
      <c r="D21" s="60">
        <v>0.0</v>
      </c>
      <c r="E21" s="60">
        <v>0.0</v>
      </c>
      <c r="F21" s="60">
        <v>0.0</v>
      </c>
      <c r="G21" s="60">
        <v>0.0</v>
      </c>
      <c r="H21" s="71">
        <v>0.0</v>
      </c>
      <c r="I21" s="73">
        <f t="shared" ref="I21:I25" si="5">sum(C21+1.2*D21+1.5*E21+2*F21+2*G21)-H21</f>
        <v>0</v>
      </c>
    </row>
    <row r="22">
      <c r="A22" s="76" t="s">
        <v>215</v>
      </c>
      <c r="B22" s="76" t="s">
        <v>44</v>
      </c>
      <c r="C22" s="60">
        <v>30.0</v>
      </c>
      <c r="D22" s="60">
        <v>3.0</v>
      </c>
      <c r="E22" s="60">
        <v>7.0</v>
      </c>
      <c r="F22" s="60">
        <v>2.0</v>
      </c>
      <c r="G22" s="60">
        <v>0.0</v>
      </c>
      <c r="H22" s="71">
        <v>2.0</v>
      </c>
      <c r="I22" s="73">
        <f t="shared" si="5"/>
        <v>46.1</v>
      </c>
    </row>
    <row r="23">
      <c r="A23" s="76" t="s">
        <v>216</v>
      </c>
      <c r="B23" s="76" t="s">
        <v>91</v>
      </c>
      <c r="C23" s="60">
        <v>19.0</v>
      </c>
      <c r="D23" s="60">
        <v>5.0</v>
      </c>
      <c r="E23" s="60">
        <v>3.0</v>
      </c>
      <c r="F23" s="60">
        <v>2.0</v>
      </c>
      <c r="G23" s="60"/>
      <c r="H23" s="71">
        <v>1.0</v>
      </c>
      <c r="I23" s="73">
        <f t="shared" si="5"/>
        <v>32.5</v>
      </c>
    </row>
    <row r="24">
      <c r="A24" s="76" t="s">
        <v>216</v>
      </c>
      <c r="B24" s="76" t="s">
        <v>338</v>
      </c>
      <c r="C24" s="60">
        <v>10.0</v>
      </c>
      <c r="D24" s="60">
        <v>8.0</v>
      </c>
      <c r="E24" s="60">
        <v>0.0</v>
      </c>
      <c r="F24" s="60">
        <v>0.0</v>
      </c>
      <c r="G24" s="60">
        <v>3.0</v>
      </c>
      <c r="H24" s="71">
        <v>0.0</v>
      </c>
      <c r="I24" s="73">
        <f t="shared" si="5"/>
        <v>25.6</v>
      </c>
    </row>
    <row r="25">
      <c r="A25" s="76" t="s">
        <v>216</v>
      </c>
      <c r="B25" s="76" t="s">
        <v>346</v>
      </c>
      <c r="C25" s="60">
        <v>7.0</v>
      </c>
      <c r="D25" s="60">
        <v>6.0</v>
      </c>
      <c r="E25" s="60">
        <v>2.0</v>
      </c>
      <c r="F25" s="60">
        <v>0.0</v>
      </c>
      <c r="G25" s="60">
        <v>4.0</v>
      </c>
      <c r="H25" s="71">
        <v>0.0</v>
      </c>
      <c r="I25" s="73">
        <f t="shared" si="5"/>
        <v>25.2</v>
      </c>
    </row>
    <row r="26">
      <c r="A26" s="96"/>
      <c r="B26" s="108" t="s">
        <v>217</v>
      </c>
      <c r="C26" s="109">
        <f>SUM(C21:C25)</f>
        <v>66</v>
      </c>
      <c r="D26" s="109">
        <f>SUM(D21:D25)*1.2</f>
        <v>26.4</v>
      </c>
      <c r="E26" s="109">
        <f>SUM(E21:E25)*1.5</f>
        <v>18</v>
      </c>
      <c r="F26" s="109">
        <f t="shared" ref="F26:G26" si="6">SUM(F21:F25)*2</f>
        <v>8</v>
      </c>
      <c r="G26" s="109">
        <f t="shared" si="6"/>
        <v>14</v>
      </c>
      <c r="H26" s="109">
        <f>SUM(H21:H25) *-1</f>
        <v>-3</v>
      </c>
      <c r="I26" s="110">
        <f>SUM(C26:H26)</f>
        <v>129.4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129</v>
      </c>
      <c r="C30" s="60">
        <v>16.0</v>
      </c>
      <c r="D30" s="60">
        <v>7.0</v>
      </c>
      <c r="E30" s="60">
        <v>5.0</v>
      </c>
      <c r="F30" s="60">
        <v>3.0</v>
      </c>
      <c r="G30" s="60">
        <v>1.0</v>
      </c>
      <c r="H30" s="71">
        <v>2.0</v>
      </c>
      <c r="I30" s="73">
        <f t="shared" ref="I30:I34" si="7">sum(C30+1.2*D30+1.5*E30+2*F30+2*G30)-H30</f>
        <v>37.9</v>
      </c>
    </row>
    <row r="31">
      <c r="A31" s="76" t="s">
        <v>215</v>
      </c>
      <c r="B31" s="76" t="s">
        <v>150</v>
      </c>
      <c r="C31" s="60">
        <v>19.0</v>
      </c>
      <c r="D31" s="60">
        <v>5.0</v>
      </c>
      <c r="E31" s="60">
        <v>3.0</v>
      </c>
      <c r="F31" s="60">
        <v>2.0</v>
      </c>
      <c r="G31" s="60">
        <v>1.0</v>
      </c>
      <c r="H31" s="71">
        <v>1.0</v>
      </c>
      <c r="I31" s="73">
        <f t="shared" si="7"/>
        <v>34.5</v>
      </c>
    </row>
    <row r="32">
      <c r="A32" s="76" t="s">
        <v>216</v>
      </c>
      <c r="B32" s="36" t="s">
        <v>98</v>
      </c>
      <c r="C32" s="60">
        <v>27.0</v>
      </c>
      <c r="D32" s="60">
        <v>8.0</v>
      </c>
      <c r="E32" s="60">
        <v>1.0</v>
      </c>
      <c r="F32" s="60">
        <v>0.0</v>
      </c>
      <c r="G32" s="60">
        <v>0.0</v>
      </c>
      <c r="H32" s="71">
        <v>5.0</v>
      </c>
      <c r="I32" s="73">
        <f t="shared" si="7"/>
        <v>33.1</v>
      </c>
    </row>
    <row r="33">
      <c r="A33" s="76" t="s">
        <v>216</v>
      </c>
      <c r="B33" s="76" t="s">
        <v>69</v>
      </c>
      <c r="C33" s="60">
        <v>33.0</v>
      </c>
      <c r="D33" s="60">
        <v>11.0</v>
      </c>
      <c r="E33" s="60">
        <v>5.0</v>
      </c>
      <c r="F33" s="60">
        <v>2.0</v>
      </c>
      <c r="G33" s="60">
        <v>1.0</v>
      </c>
      <c r="H33" s="71">
        <v>4.0</v>
      </c>
      <c r="I33" s="73">
        <f t="shared" si="7"/>
        <v>55.7</v>
      </c>
    </row>
    <row r="34">
      <c r="A34" s="76" t="s">
        <v>216</v>
      </c>
      <c r="B34" s="70" t="s">
        <v>349</v>
      </c>
      <c r="C34" s="60">
        <v>17.0</v>
      </c>
      <c r="D34" s="60">
        <v>3.0</v>
      </c>
      <c r="E34" s="60">
        <v>1.0</v>
      </c>
      <c r="F34" s="60">
        <v>0.0</v>
      </c>
      <c r="G34" s="60">
        <v>4.0</v>
      </c>
      <c r="H34" s="71">
        <v>1.0</v>
      </c>
      <c r="I34" s="73">
        <f t="shared" si="7"/>
        <v>29.1</v>
      </c>
    </row>
    <row r="35">
      <c r="A35" s="96"/>
      <c r="B35" s="108" t="s">
        <v>217</v>
      </c>
      <c r="C35" s="109">
        <f>SUM(C30:C34)</f>
        <v>112</v>
      </c>
      <c r="D35" s="109">
        <f>SUM(D30:D34)*1.2</f>
        <v>40.8</v>
      </c>
      <c r="E35" s="109">
        <f>SUM(E30:E34)*1.5</f>
        <v>22.5</v>
      </c>
      <c r="F35" s="109">
        <f t="shared" ref="F35:G35" si="8">SUM(F30:F34)*2</f>
        <v>14</v>
      </c>
      <c r="G35" s="109">
        <f t="shared" si="8"/>
        <v>14</v>
      </c>
      <c r="H35" s="109">
        <f>SUM(H30:H34) *-1</f>
        <v>-13</v>
      </c>
      <c r="I35" s="110">
        <f>SUM(C35:H35)</f>
        <v>190.3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83</v>
      </c>
      <c r="C3" s="60">
        <v>9.0</v>
      </c>
      <c r="D3" s="60">
        <v>1.0</v>
      </c>
      <c r="E3" s="60">
        <v>5.0</v>
      </c>
      <c r="F3" s="60">
        <v>0.0</v>
      </c>
      <c r="G3" s="60">
        <v>0.0</v>
      </c>
      <c r="H3" s="71">
        <v>2.0</v>
      </c>
      <c r="I3" s="72">
        <f t="shared" ref="I3:I7" si="1">sum(C3+1.2*D3+1.5*E3+2*F3+2*G3)-H3</f>
        <v>15.7</v>
      </c>
    </row>
    <row r="4">
      <c r="A4" s="76" t="s">
        <v>215</v>
      </c>
      <c r="B4" s="76" t="s">
        <v>348</v>
      </c>
      <c r="C4" s="60">
        <v>15.0</v>
      </c>
      <c r="D4" s="60">
        <v>4.0</v>
      </c>
      <c r="E4" s="60">
        <v>10.0</v>
      </c>
      <c r="F4" s="60">
        <v>2.0</v>
      </c>
      <c r="G4" s="60">
        <v>0.0</v>
      </c>
      <c r="H4" s="71">
        <v>2.0</v>
      </c>
      <c r="I4" s="72">
        <f t="shared" si="1"/>
        <v>36.8</v>
      </c>
    </row>
    <row r="5">
      <c r="A5" s="76" t="s">
        <v>216</v>
      </c>
      <c r="B5" s="76" t="s">
        <v>66</v>
      </c>
      <c r="C5" s="60">
        <v>35.0</v>
      </c>
      <c r="D5" s="60">
        <v>7.0</v>
      </c>
      <c r="E5" s="60">
        <v>7.0</v>
      </c>
      <c r="F5" s="60">
        <v>3.0</v>
      </c>
      <c r="G5" s="60">
        <v>1.0</v>
      </c>
      <c r="H5" s="71">
        <v>4.0</v>
      </c>
      <c r="I5" s="72">
        <f t="shared" si="1"/>
        <v>57.9</v>
      </c>
    </row>
    <row r="6">
      <c r="A6" s="76" t="s">
        <v>216</v>
      </c>
      <c r="B6" s="76" t="s">
        <v>70</v>
      </c>
      <c r="C6" s="60">
        <v>13.0</v>
      </c>
      <c r="D6" s="60">
        <v>12.0</v>
      </c>
      <c r="E6" s="60">
        <v>3.0</v>
      </c>
      <c r="F6" s="60">
        <v>1.0</v>
      </c>
      <c r="G6" s="60">
        <v>0.0</v>
      </c>
      <c r="H6" s="71">
        <v>1.0</v>
      </c>
      <c r="I6" s="72">
        <f t="shared" si="1"/>
        <v>32.9</v>
      </c>
    </row>
    <row r="7">
      <c r="A7" s="76" t="s">
        <v>216</v>
      </c>
      <c r="B7" s="118" t="s">
        <v>114</v>
      </c>
      <c r="C7" s="77">
        <v>13.0</v>
      </c>
      <c r="D7" s="77">
        <v>5.0</v>
      </c>
      <c r="E7" s="77">
        <v>2.0</v>
      </c>
      <c r="F7" s="77">
        <v>1.0</v>
      </c>
      <c r="G7" s="77">
        <v>3.0</v>
      </c>
      <c r="H7" s="78">
        <v>3.0</v>
      </c>
      <c r="I7" s="72">
        <f t="shared" si="1"/>
        <v>27</v>
      </c>
    </row>
    <row r="8">
      <c r="A8" s="96"/>
      <c r="B8" s="102" t="s">
        <v>217</v>
      </c>
      <c r="C8" s="103">
        <f>SUM(C3:C7)</f>
        <v>85</v>
      </c>
      <c r="D8" s="103">
        <f>SUM(D3:D7)*1.2</f>
        <v>34.8</v>
      </c>
      <c r="E8" s="103">
        <f>SUM(E3:E7)*1.5</f>
        <v>40.5</v>
      </c>
      <c r="F8" s="103">
        <f t="shared" ref="F8:G8" si="2">SUM(F3:F7)*2</f>
        <v>14</v>
      </c>
      <c r="G8" s="103">
        <f t="shared" si="2"/>
        <v>8</v>
      </c>
      <c r="H8" s="104">
        <f>SUM(H3:H7) *-1</f>
        <v>-12</v>
      </c>
      <c r="I8" s="105">
        <f>SUM(C8:H8)</f>
        <v>170.3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44.0</v>
      </c>
      <c r="D12" s="60">
        <v>5.0</v>
      </c>
      <c r="E12" s="60">
        <v>5.0</v>
      </c>
      <c r="F12" s="60">
        <v>2.0</v>
      </c>
      <c r="G12" s="60">
        <v>1.0</v>
      </c>
      <c r="H12" s="71">
        <v>3.0</v>
      </c>
      <c r="I12" s="73">
        <f t="shared" ref="I12:I16" si="3">sum(C12+1.2*D12+1.5*E12+2*F12+2*G12)-H12</f>
        <v>60.5</v>
      </c>
    </row>
    <row r="13">
      <c r="A13" s="76" t="s">
        <v>215</v>
      </c>
      <c r="B13" s="76" t="s">
        <v>72</v>
      </c>
      <c r="C13" s="60">
        <v>19.0</v>
      </c>
      <c r="D13" s="60">
        <v>5.0</v>
      </c>
      <c r="E13" s="60">
        <v>8.0</v>
      </c>
      <c r="F13" s="60">
        <v>2.0</v>
      </c>
      <c r="G13" s="60">
        <v>0.0</v>
      </c>
      <c r="H13" s="71">
        <v>3.0</v>
      </c>
      <c r="I13" s="73">
        <f t="shared" si="3"/>
        <v>38</v>
      </c>
    </row>
    <row r="14">
      <c r="A14" s="76" t="s">
        <v>216</v>
      </c>
      <c r="B14" s="76" t="s">
        <v>351</v>
      </c>
      <c r="C14" s="60">
        <v>4.0</v>
      </c>
      <c r="D14" s="60">
        <v>3.0</v>
      </c>
      <c r="E14" s="60">
        <v>1.0</v>
      </c>
      <c r="F14" s="60">
        <v>0.0</v>
      </c>
      <c r="G14" s="60">
        <v>1.0</v>
      </c>
      <c r="H14" s="71">
        <v>1.0</v>
      </c>
      <c r="I14" s="73">
        <f t="shared" si="3"/>
        <v>10.1</v>
      </c>
    </row>
    <row r="15">
      <c r="A15" s="76" t="s">
        <v>216</v>
      </c>
      <c r="B15" s="76" t="s">
        <v>58</v>
      </c>
      <c r="C15" s="60">
        <v>27.0</v>
      </c>
      <c r="D15" s="60">
        <v>7.0</v>
      </c>
      <c r="E15" s="60">
        <v>6.0</v>
      </c>
      <c r="F15" s="60">
        <v>1.0</v>
      </c>
      <c r="G15" s="60">
        <v>2.0</v>
      </c>
      <c r="H15" s="71">
        <v>2.0</v>
      </c>
      <c r="I15" s="73">
        <f t="shared" si="3"/>
        <v>48.4</v>
      </c>
    </row>
    <row r="16">
      <c r="A16" s="76" t="s">
        <v>216</v>
      </c>
      <c r="B16" s="118" t="s">
        <v>132</v>
      </c>
      <c r="C16" s="77">
        <v>14.0</v>
      </c>
      <c r="D16" s="77">
        <v>1.0</v>
      </c>
      <c r="E16" s="77">
        <v>2.0</v>
      </c>
      <c r="F16" s="77">
        <v>1.0</v>
      </c>
      <c r="G16" s="77">
        <v>1.0</v>
      </c>
      <c r="H16" s="78">
        <v>0.0</v>
      </c>
      <c r="I16" s="73">
        <f t="shared" si="3"/>
        <v>22.2</v>
      </c>
    </row>
    <row r="17">
      <c r="A17" s="96"/>
      <c r="B17" s="102" t="s">
        <v>217</v>
      </c>
      <c r="C17" s="103">
        <f>SUM(C12:C16)</f>
        <v>108</v>
      </c>
      <c r="D17" s="103">
        <f>SUM(D12:D16)*1.2</f>
        <v>25.2</v>
      </c>
      <c r="E17" s="103">
        <f>SUM(E12:E16)*1.5</f>
        <v>33</v>
      </c>
      <c r="F17" s="103">
        <f t="shared" ref="F17:G17" si="4">SUM(F12:F16)*2</f>
        <v>12</v>
      </c>
      <c r="G17" s="103">
        <f t="shared" si="4"/>
        <v>10</v>
      </c>
      <c r="H17" s="104">
        <f>SUM(H12:H16) *-1</f>
        <v>-9</v>
      </c>
      <c r="I17" s="105">
        <f>SUM(C17:H17)</f>
        <v>179.2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84</v>
      </c>
      <c r="C21" s="60">
        <v>18.0</v>
      </c>
      <c r="D21" s="60">
        <v>3.0</v>
      </c>
      <c r="E21" s="60">
        <v>5.0</v>
      </c>
      <c r="F21" s="60">
        <v>2.0</v>
      </c>
      <c r="G21" s="60">
        <v>0.0</v>
      </c>
      <c r="H21" s="71">
        <v>2.0</v>
      </c>
      <c r="I21" s="73">
        <f t="shared" ref="I21:I25" si="5">sum(C21+1.2*D21+1.5*E21+2*F21+2*G21)-H21</f>
        <v>31.1</v>
      </c>
    </row>
    <row r="22">
      <c r="A22" s="76" t="s">
        <v>215</v>
      </c>
      <c r="B22" s="76" t="s">
        <v>352</v>
      </c>
      <c r="C22" s="60">
        <v>7.0</v>
      </c>
      <c r="D22" s="60">
        <v>5.0</v>
      </c>
      <c r="E22" s="60">
        <v>4.0</v>
      </c>
      <c r="F22" s="60">
        <v>1.0</v>
      </c>
      <c r="G22" s="60">
        <v>1.0</v>
      </c>
      <c r="H22" s="71">
        <v>2.0</v>
      </c>
      <c r="I22" s="73">
        <f t="shared" si="5"/>
        <v>21</v>
      </c>
    </row>
    <row r="23">
      <c r="A23" s="76" t="s">
        <v>216</v>
      </c>
      <c r="B23" s="76" t="s">
        <v>111</v>
      </c>
      <c r="C23" s="60">
        <v>14.0</v>
      </c>
      <c r="D23" s="60">
        <v>4.0</v>
      </c>
      <c r="E23" s="60">
        <v>2.0</v>
      </c>
      <c r="F23" s="60">
        <v>1.0</v>
      </c>
      <c r="G23" s="60">
        <v>0.0</v>
      </c>
      <c r="H23" s="71">
        <v>0.0</v>
      </c>
      <c r="I23" s="73">
        <f t="shared" si="5"/>
        <v>23.8</v>
      </c>
    </row>
    <row r="24">
      <c r="A24" s="76" t="s">
        <v>216</v>
      </c>
      <c r="B24" s="76" t="s">
        <v>81</v>
      </c>
      <c r="C24" s="60">
        <v>11.0</v>
      </c>
      <c r="D24" s="60">
        <v>14.0</v>
      </c>
      <c r="E24" s="60">
        <v>1.0</v>
      </c>
      <c r="F24" s="60">
        <v>0.0</v>
      </c>
      <c r="G24" s="60">
        <v>1.0</v>
      </c>
      <c r="H24" s="71">
        <v>5.0</v>
      </c>
      <c r="I24" s="73">
        <f t="shared" si="5"/>
        <v>26.3</v>
      </c>
    </row>
    <row r="25">
      <c r="A25" s="76" t="s">
        <v>216</v>
      </c>
      <c r="B25" s="76" t="s">
        <v>133</v>
      </c>
      <c r="C25" s="60">
        <v>11.0</v>
      </c>
      <c r="D25" s="60">
        <v>4.0</v>
      </c>
      <c r="E25" s="60">
        <v>0.0</v>
      </c>
      <c r="F25" s="60">
        <v>0.0</v>
      </c>
      <c r="G25" s="60">
        <v>0.0</v>
      </c>
      <c r="H25" s="71">
        <v>0.0</v>
      </c>
      <c r="I25" s="73">
        <f t="shared" si="5"/>
        <v>15.8</v>
      </c>
    </row>
    <row r="26">
      <c r="A26" s="96"/>
      <c r="B26" s="108" t="s">
        <v>217</v>
      </c>
      <c r="C26" s="109">
        <f>SUM(C21:C25)</f>
        <v>61</v>
      </c>
      <c r="D26" s="109">
        <f>SUM(D21:D25)*1.2</f>
        <v>36</v>
      </c>
      <c r="E26" s="109">
        <f>SUM(E21:E25)*1.5</f>
        <v>18</v>
      </c>
      <c r="F26" s="109">
        <f t="shared" ref="F26:G26" si="6">SUM(F21:F25)*2</f>
        <v>8</v>
      </c>
      <c r="G26" s="109">
        <f t="shared" si="6"/>
        <v>4</v>
      </c>
      <c r="H26" s="109">
        <f>SUM(H21:H25) *-1</f>
        <v>-9</v>
      </c>
      <c r="I26" s="110">
        <f>SUM(C26:H26)</f>
        <v>118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92</v>
      </c>
      <c r="C30" s="60">
        <v>20.0</v>
      </c>
      <c r="D30" s="60">
        <v>6.0</v>
      </c>
      <c r="E30" s="60">
        <v>5.0</v>
      </c>
      <c r="F30" s="60">
        <v>0.0</v>
      </c>
      <c r="G30" s="60">
        <v>0.0</v>
      </c>
      <c r="H30" s="71">
        <v>0.0</v>
      </c>
      <c r="I30" s="73">
        <f t="shared" ref="I30:I34" si="7">sum(C30+1.2*D30+1.5*E30+2*F30+2*G30)-H30</f>
        <v>34.7</v>
      </c>
    </row>
    <row r="31">
      <c r="A31" s="76" t="s">
        <v>215</v>
      </c>
      <c r="B31" s="76" t="s">
        <v>334</v>
      </c>
      <c r="C31" s="60">
        <v>15.0</v>
      </c>
      <c r="D31" s="60">
        <v>2.0</v>
      </c>
      <c r="E31" s="60">
        <v>9.0</v>
      </c>
      <c r="F31" s="60">
        <v>1.0</v>
      </c>
      <c r="G31" s="60">
        <v>0.0</v>
      </c>
      <c r="H31" s="71">
        <v>0.0</v>
      </c>
      <c r="I31" s="73">
        <f t="shared" si="7"/>
        <v>32.9</v>
      </c>
    </row>
    <row r="32">
      <c r="A32" s="76" t="s">
        <v>216</v>
      </c>
      <c r="B32" s="76" t="s">
        <v>89</v>
      </c>
      <c r="C32" s="60">
        <v>2.0</v>
      </c>
      <c r="D32" s="60">
        <v>3.0</v>
      </c>
      <c r="E32" s="60">
        <v>2.0</v>
      </c>
      <c r="F32" s="60">
        <v>0.0</v>
      </c>
      <c r="G32" s="60">
        <v>0.0</v>
      </c>
      <c r="H32" s="71">
        <v>2.0</v>
      </c>
      <c r="I32" s="73">
        <f t="shared" si="7"/>
        <v>6.6</v>
      </c>
    </row>
    <row r="33">
      <c r="A33" s="76" t="s">
        <v>216</v>
      </c>
      <c r="B33" s="76" t="s">
        <v>121</v>
      </c>
      <c r="C33" s="60">
        <v>4.0</v>
      </c>
      <c r="D33" s="60">
        <v>5.0</v>
      </c>
      <c r="E33" s="60">
        <v>0.0</v>
      </c>
      <c r="F33" s="60">
        <v>0.0</v>
      </c>
      <c r="G33" s="60">
        <v>0.0</v>
      </c>
      <c r="H33" s="71">
        <v>2.0</v>
      </c>
      <c r="I33" s="73">
        <f t="shared" si="7"/>
        <v>8</v>
      </c>
    </row>
    <row r="34">
      <c r="A34" s="76" t="s">
        <v>216</v>
      </c>
      <c r="B34" s="70" t="s">
        <v>120</v>
      </c>
      <c r="C34" s="60">
        <v>8.0</v>
      </c>
      <c r="D34" s="60">
        <v>12.0</v>
      </c>
      <c r="E34" s="60">
        <v>1.0</v>
      </c>
      <c r="F34" s="60">
        <v>0.0</v>
      </c>
      <c r="G34" s="60">
        <v>1.0</v>
      </c>
      <c r="H34" s="71">
        <v>1.0</v>
      </c>
      <c r="I34" s="73">
        <f t="shared" si="7"/>
        <v>24.9</v>
      </c>
    </row>
    <row r="35">
      <c r="A35" s="96"/>
      <c r="B35" s="108" t="s">
        <v>217</v>
      </c>
      <c r="C35" s="109">
        <f>SUM(C30:C34)</f>
        <v>49</v>
      </c>
      <c r="D35" s="109">
        <f>SUM(D30:D34)*1.2</f>
        <v>33.6</v>
      </c>
      <c r="E35" s="109">
        <f>SUM(E30:E34)*1.5</f>
        <v>25.5</v>
      </c>
      <c r="F35" s="109">
        <f t="shared" ref="F35:G35" si="8">SUM(F30:F34)*2</f>
        <v>2</v>
      </c>
      <c r="G35" s="109">
        <f t="shared" si="8"/>
        <v>2</v>
      </c>
      <c r="H35" s="109">
        <f>SUM(H30:H34) *-1</f>
        <v>-5</v>
      </c>
      <c r="I35" s="110">
        <f>SUM(C35:H35)</f>
        <v>107.1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73</v>
      </c>
      <c r="C3" s="60">
        <v>31.0</v>
      </c>
      <c r="D3" s="60">
        <v>10.0</v>
      </c>
      <c r="E3" s="60">
        <v>6.0</v>
      </c>
      <c r="F3" s="60">
        <v>1.0</v>
      </c>
      <c r="G3" s="60">
        <v>5.0</v>
      </c>
      <c r="H3" s="71">
        <v>5.0</v>
      </c>
      <c r="I3" s="72">
        <f t="shared" ref="I3:I7" si="1">sum(C3+1.2*D3+1.5*E3+2*F3+2*G3)-H3</f>
        <v>59</v>
      </c>
    </row>
    <row r="4">
      <c r="A4" s="76" t="s">
        <v>215</v>
      </c>
      <c r="B4" s="76" t="s">
        <v>337</v>
      </c>
      <c r="C4" s="60">
        <v>22.0</v>
      </c>
      <c r="D4" s="60">
        <v>5.0</v>
      </c>
      <c r="E4" s="60">
        <v>7.0</v>
      </c>
      <c r="F4" s="60">
        <v>1.0</v>
      </c>
      <c r="G4" s="60">
        <v>1.0</v>
      </c>
      <c r="H4" s="71">
        <v>4.0</v>
      </c>
      <c r="I4" s="72">
        <f t="shared" si="1"/>
        <v>38.5</v>
      </c>
    </row>
    <row r="5">
      <c r="A5" s="76" t="s">
        <v>216</v>
      </c>
      <c r="B5" s="76" t="s">
        <v>91</v>
      </c>
      <c r="C5" s="60">
        <v>17.0</v>
      </c>
      <c r="D5" s="60">
        <v>8.0</v>
      </c>
      <c r="E5" s="60">
        <v>1.0</v>
      </c>
      <c r="F5" s="60">
        <v>1.0</v>
      </c>
      <c r="G5" s="60">
        <v>0.0</v>
      </c>
      <c r="H5" s="71">
        <v>3.0</v>
      </c>
      <c r="I5" s="72">
        <f t="shared" si="1"/>
        <v>27.1</v>
      </c>
    </row>
    <row r="6">
      <c r="A6" s="76" t="s">
        <v>216</v>
      </c>
      <c r="B6" s="76" t="s">
        <v>134</v>
      </c>
      <c r="C6" s="60">
        <v>2.0</v>
      </c>
      <c r="D6" s="60">
        <v>7.0</v>
      </c>
      <c r="E6" s="60">
        <v>2.0</v>
      </c>
      <c r="F6" s="60">
        <v>0.0</v>
      </c>
      <c r="G6" s="60">
        <v>0.0</v>
      </c>
      <c r="H6" s="71">
        <v>0.0</v>
      </c>
      <c r="I6" s="72">
        <f t="shared" si="1"/>
        <v>13.4</v>
      </c>
    </row>
    <row r="7">
      <c r="A7" s="76" t="s">
        <v>216</v>
      </c>
      <c r="B7" s="118" t="s">
        <v>102</v>
      </c>
      <c r="C7" s="77">
        <v>6.0</v>
      </c>
      <c r="D7" s="77">
        <v>5.0</v>
      </c>
      <c r="E7" s="77">
        <v>2.0</v>
      </c>
      <c r="F7" s="77">
        <v>0.0</v>
      </c>
      <c r="G7" s="77">
        <v>0.0</v>
      </c>
      <c r="H7" s="78">
        <v>1.0</v>
      </c>
      <c r="I7" s="72">
        <f t="shared" si="1"/>
        <v>14</v>
      </c>
    </row>
    <row r="8">
      <c r="A8" s="96"/>
      <c r="B8" s="102" t="s">
        <v>217</v>
      </c>
      <c r="C8" s="103">
        <f>SUM(C3:C7)</f>
        <v>78</v>
      </c>
      <c r="D8" s="103">
        <f>SUM(D3:D7)*1.2</f>
        <v>42</v>
      </c>
      <c r="E8" s="103">
        <f>SUM(E3:E7)*1.5</f>
        <v>27</v>
      </c>
      <c r="F8" s="103">
        <f t="shared" ref="F8:G8" si="2">SUM(F3:F7)*2</f>
        <v>6</v>
      </c>
      <c r="G8" s="103">
        <f t="shared" si="2"/>
        <v>12</v>
      </c>
      <c r="H8" s="104">
        <f>SUM(H3:H7) *-1</f>
        <v>-13</v>
      </c>
      <c r="I8" s="105">
        <f>SUM(C8:H8)</f>
        <v>152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79</v>
      </c>
      <c r="C12" s="60">
        <v>22.0</v>
      </c>
      <c r="D12" s="60">
        <v>15.0</v>
      </c>
      <c r="E12" s="60">
        <v>5.0</v>
      </c>
      <c r="F12" s="60">
        <v>2.0</v>
      </c>
      <c r="G12" s="60">
        <v>0.0</v>
      </c>
      <c r="H12" s="71">
        <v>4.0</v>
      </c>
      <c r="I12" s="73">
        <f t="shared" ref="I12:I16" si="3">sum(C12+1.2*D12+1.5*E12+2*F12+2*G12)-H12</f>
        <v>47.5</v>
      </c>
    </row>
    <row r="13">
      <c r="A13" s="76" t="s">
        <v>215</v>
      </c>
      <c r="B13" s="76" t="s">
        <v>93</v>
      </c>
      <c r="C13" s="60">
        <v>12.0</v>
      </c>
      <c r="D13" s="60">
        <v>3.0</v>
      </c>
      <c r="E13" s="60">
        <v>3.0</v>
      </c>
      <c r="F13" s="60">
        <v>1.0</v>
      </c>
      <c r="G13" s="60">
        <v>1.0</v>
      </c>
      <c r="H13" s="71">
        <v>1.0</v>
      </c>
      <c r="I13" s="73">
        <f t="shared" si="3"/>
        <v>23.1</v>
      </c>
    </row>
    <row r="14">
      <c r="A14" s="76" t="s">
        <v>216</v>
      </c>
      <c r="B14" s="76" t="s">
        <v>98</v>
      </c>
      <c r="C14" s="60">
        <v>28.0</v>
      </c>
      <c r="D14" s="60">
        <v>9.0</v>
      </c>
      <c r="E14" s="60">
        <v>3.0</v>
      </c>
      <c r="F14" s="60">
        <v>1.0</v>
      </c>
      <c r="G14" s="60">
        <v>0.0</v>
      </c>
      <c r="H14" s="71">
        <v>2.0</v>
      </c>
      <c r="I14" s="73">
        <f t="shared" si="3"/>
        <v>43.3</v>
      </c>
    </row>
    <row r="15">
      <c r="A15" s="76" t="s">
        <v>216</v>
      </c>
      <c r="B15" s="76" t="s">
        <v>101</v>
      </c>
      <c r="C15" s="60">
        <v>13.0</v>
      </c>
      <c r="D15" s="60">
        <v>8.0</v>
      </c>
      <c r="E15" s="60">
        <v>3.0</v>
      </c>
      <c r="F15" s="60">
        <v>1.0</v>
      </c>
      <c r="G15" s="60">
        <v>4.0</v>
      </c>
      <c r="H15" s="71">
        <v>1.0</v>
      </c>
      <c r="I15" s="73">
        <f t="shared" si="3"/>
        <v>36.1</v>
      </c>
    </row>
    <row r="16">
      <c r="A16" s="76" t="s">
        <v>216</v>
      </c>
      <c r="B16" s="118" t="s">
        <v>338</v>
      </c>
      <c r="C16" s="77">
        <v>8.0</v>
      </c>
      <c r="D16" s="77">
        <v>5.0</v>
      </c>
      <c r="E16" s="77">
        <v>3.0</v>
      </c>
      <c r="F16" s="77">
        <v>0.0</v>
      </c>
      <c r="G16" s="77">
        <v>1.0</v>
      </c>
      <c r="H16" s="78">
        <v>1.0</v>
      </c>
      <c r="I16" s="73">
        <f t="shared" si="3"/>
        <v>19.5</v>
      </c>
    </row>
    <row r="17">
      <c r="A17" s="96"/>
      <c r="B17" s="102" t="s">
        <v>217</v>
      </c>
      <c r="C17" s="103">
        <f>SUM(C12:C16)</f>
        <v>83</v>
      </c>
      <c r="D17" s="103">
        <f>SUM(D12:D16)*1.2</f>
        <v>48</v>
      </c>
      <c r="E17" s="103">
        <f>SUM(E12:E16)*1.5</f>
        <v>25.5</v>
      </c>
      <c r="F17" s="103">
        <f t="shared" ref="F17:G17" si="4">SUM(F12:F16)*2</f>
        <v>10</v>
      </c>
      <c r="G17" s="103">
        <f t="shared" si="4"/>
        <v>12</v>
      </c>
      <c r="H17" s="104">
        <f>SUM(H12:H16) *-1</f>
        <v>-9</v>
      </c>
      <c r="I17" s="105">
        <f>SUM(C17:H17)</f>
        <v>169.5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87</v>
      </c>
      <c r="C21" s="60">
        <v>33.0</v>
      </c>
      <c r="D21" s="60">
        <v>6.0</v>
      </c>
      <c r="E21" s="60">
        <v>3.0</v>
      </c>
      <c r="F21" s="60">
        <v>2.0</v>
      </c>
      <c r="G21" s="60">
        <v>0.0</v>
      </c>
      <c r="H21" s="71">
        <v>0.0</v>
      </c>
      <c r="I21" s="73">
        <f t="shared" ref="I21:I25" si="5">sum(C21+1.2*D21+1.5*E21+2*F21+2*G21)-H21</f>
        <v>48.7</v>
      </c>
    </row>
    <row r="22">
      <c r="A22" s="76" t="s">
        <v>215</v>
      </c>
      <c r="B22" s="76" t="s">
        <v>44</v>
      </c>
      <c r="C22" s="60">
        <v>15.0</v>
      </c>
      <c r="D22" s="60">
        <v>3.0</v>
      </c>
      <c r="E22" s="60">
        <v>6.0</v>
      </c>
      <c r="F22" s="60">
        <v>0.0</v>
      </c>
      <c r="G22" s="60">
        <v>1.0</v>
      </c>
      <c r="H22" s="71">
        <v>2.0</v>
      </c>
      <c r="I22" s="73">
        <f t="shared" si="5"/>
        <v>27.6</v>
      </c>
    </row>
    <row r="23">
      <c r="A23" s="76" t="s">
        <v>216</v>
      </c>
      <c r="B23" s="76" t="s">
        <v>69</v>
      </c>
      <c r="C23" s="60">
        <v>33.0</v>
      </c>
      <c r="D23" s="60">
        <v>13.0</v>
      </c>
      <c r="E23" s="60">
        <v>6.0</v>
      </c>
      <c r="F23" s="60">
        <v>1.0</v>
      </c>
      <c r="G23" s="60">
        <v>1.0</v>
      </c>
      <c r="H23" s="71">
        <v>5.0</v>
      </c>
      <c r="I23" s="73">
        <f t="shared" si="5"/>
        <v>56.6</v>
      </c>
    </row>
    <row r="24">
      <c r="A24" s="76" t="s">
        <v>216</v>
      </c>
      <c r="B24" s="76" t="s">
        <v>80</v>
      </c>
      <c r="C24" s="60">
        <v>16.0</v>
      </c>
      <c r="D24" s="60">
        <v>6.0</v>
      </c>
      <c r="E24" s="60">
        <v>8.0</v>
      </c>
      <c r="F24" s="60">
        <v>0.0</v>
      </c>
      <c r="G24" s="60">
        <v>1.0</v>
      </c>
      <c r="H24" s="71">
        <v>3.0</v>
      </c>
      <c r="I24" s="73">
        <f t="shared" si="5"/>
        <v>34.2</v>
      </c>
    </row>
    <row r="25">
      <c r="A25" s="76" t="s">
        <v>216</v>
      </c>
      <c r="B25" s="76" t="s">
        <v>335</v>
      </c>
      <c r="C25" s="60">
        <v>27.0</v>
      </c>
      <c r="D25" s="60">
        <v>6.0</v>
      </c>
      <c r="E25" s="60">
        <v>2.0</v>
      </c>
      <c r="F25" s="60">
        <v>0.0</v>
      </c>
      <c r="G25" s="60">
        <v>0.0</v>
      </c>
      <c r="H25" s="71">
        <v>0.0</v>
      </c>
      <c r="I25" s="73">
        <f t="shared" si="5"/>
        <v>37.2</v>
      </c>
    </row>
    <row r="26">
      <c r="A26" s="96"/>
      <c r="B26" s="108" t="s">
        <v>217</v>
      </c>
      <c r="C26" s="109">
        <f>SUM(C21:C25)</f>
        <v>124</v>
      </c>
      <c r="D26" s="109">
        <f>SUM(D21:D25)*1.2</f>
        <v>40.8</v>
      </c>
      <c r="E26" s="109">
        <f>SUM(E21:E25)*1.5</f>
        <v>37.5</v>
      </c>
      <c r="F26" s="109">
        <f t="shared" ref="F26:G26" si="6">SUM(F21:F25)*2</f>
        <v>6</v>
      </c>
      <c r="G26" s="109">
        <f t="shared" si="6"/>
        <v>6</v>
      </c>
      <c r="H26" s="109">
        <f>SUM(H21:H25) *-1</f>
        <v>-10</v>
      </c>
      <c r="I26" s="110">
        <f>SUM(C26:H26)</f>
        <v>204.3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B32" s="76"/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6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108" t="s">
        <v>217</v>
      </c>
      <c r="C35" s="109">
        <f>SUM(C30:C34)</f>
        <v>0</v>
      </c>
      <c r="D35" s="109">
        <f>SUM(D30:D34)*1.2</f>
        <v>0</v>
      </c>
      <c r="E35" s="109">
        <f>SUM(E30:E34)*1.5</f>
        <v>0</v>
      </c>
      <c r="F35" s="109">
        <f t="shared" ref="F35:G35" si="8">SUM(F30:F34)*2</f>
        <v>0</v>
      </c>
      <c r="G35" s="109">
        <f t="shared" si="8"/>
        <v>0</v>
      </c>
      <c r="H35" s="109">
        <f>SUM(H30:H34) *-1</f>
        <v>0</v>
      </c>
      <c r="I35" s="110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84</v>
      </c>
      <c r="C3" s="60">
        <v>26.0</v>
      </c>
      <c r="D3" s="60">
        <v>0.0</v>
      </c>
      <c r="E3" s="60">
        <v>6.0</v>
      </c>
      <c r="F3" s="60">
        <v>1.0</v>
      </c>
      <c r="G3" s="60">
        <v>0.0</v>
      </c>
      <c r="H3" s="71">
        <v>5.0</v>
      </c>
      <c r="I3" s="72">
        <f t="shared" ref="I3:I7" si="1">sum(C3+1.2*D3+1.5*E3+2*F3+2*G3)-H3</f>
        <v>32</v>
      </c>
    </row>
    <row r="4">
      <c r="A4" s="76" t="s">
        <v>215</v>
      </c>
      <c r="B4" s="76" t="s">
        <v>83</v>
      </c>
      <c r="C4" s="60">
        <v>5.0</v>
      </c>
      <c r="D4" s="60">
        <v>5.0</v>
      </c>
      <c r="E4" s="60">
        <v>6.0</v>
      </c>
      <c r="F4" s="60">
        <v>0.0</v>
      </c>
      <c r="G4" s="60">
        <v>0.0</v>
      </c>
      <c r="H4" s="71">
        <v>2.0</v>
      </c>
      <c r="I4" s="72">
        <f t="shared" si="1"/>
        <v>18</v>
      </c>
    </row>
    <row r="5">
      <c r="A5" s="76" t="s">
        <v>216</v>
      </c>
      <c r="B5" s="76" t="s">
        <v>89</v>
      </c>
      <c r="C5" s="60">
        <v>10.0</v>
      </c>
      <c r="D5" s="60">
        <v>18.0</v>
      </c>
      <c r="E5" s="60">
        <v>4.0</v>
      </c>
      <c r="F5" s="60">
        <v>2.0</v>
      </c>
      <c r="G5" s="60">
        <v>0.0</v>
      </c>
      <c r="H5" s="71">
        <v>4.0</v>
      </c>
      <c r="I5" s="72">
        <f t="shared" si="1"/>
        <v>37.6</v>
      </c>
    </row>
    <row r="6">
      <c r="A6" s="76" t="s">
        <v>216</v>
      </c>
      <c r="B6" s="76" t="s">
        <v>114</v>
      </c>
      <c r="C6" s="60">
        <v>21.0</v>
      </c>
      <c r="D6" s="60">
        <v>10.0</v>
      </c>
      <c r="E6" s="60">
        <v>1.0</v>
      </c>
      <c r="F6" s="60">
        <v>0.0</v>
      </c>
      <c r="G6" s="60">
        <v>3.0</v>
      </c>
      <c r="H6" s="71">
        <v>1.0</v>
      </c>
      <c r="I6" s="72">
        <f t="shared" si="1"/>
        <v>39.5</v>
      </c>
    </row>
    <row r="7">
      <c r="A7" s="76" t="s">
        <v>216</v>
      </c>
      <c r="B7" s="118" t="s">
        <v>133</v>
      </c>
      <c r="C7" s="77">
        <v>7.0</v>
      </c>
      <c r="D7" s="77">
        <v>1.0</v>
      </c>
      <c r="E7" s="77">
        <v>1.0</v>
      </c>
      <c r="F7" s="77">
        <v>1.0</v>
      </c>
      <c r="G7" s="77">
        <v>0.0</v>
      </c>
      <c r="H7" s="78">
        <v>0.0</v>
      </c>
      <c r="I7" s="72">
        <f t="shared" si="1"/>
        <v>11.7</v>
      </c>
    </row>
    <row r="8">
      <c r="A8" s="96"/>
      <c r="B8" s="102" t="s">
        <v>217</v>
      </c>
      <c r="C8" s="103">
        <f>SUM(C3:C7)</f>
        <v>69</v>
      </c>
      <c r="D8" s="103">
        <f>SUM(D3:D7)*1.2</f>
        <v>40.8</v>
      </c>
      <c r="E8" s="103">
        <f>SUM(E3:E7)*1.5</f>
        <v>27</v>
      </c>
      <c r="F8" s="103">
        <f t="shared" ref="F8:G8" si="2">SUM(F3:F7)*2</f>
        <v>8</v>
      </c>
      <c r="G8" s="103">
        <f t="shared" si="2"/>
        <v>6</v>
      </c>
      <c r="H8" s="104">
        <f>SUM(H3:H7) *-1</f>
        <v>-12</v>
      </c>
      <c r="I8" s="105">
        <f>SUM(C8:H8)</f>
        <v>138.8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334</v>
      </c>
      <c r="C12" s="60">
        <v>10.0</v>
      </c>
      <c r="D12" s="60">
        <v>6.0</v>
      </c>
      <c r="E12" s="60">
        <v>6.0</v>
      </c>
      <c r="F12" s="60">
        <v>1.0</v>
      </c>
      <c r="G12" s="60">
        <v>0.0</v>
      </c>
      <c r="H12" s="71">
        <v>3.0</v>
      </c>
      <c r="I12" s="73">
        <f t="shared" ref="I12:I16" si="3">sum(C12+1.2*D12+1.5*E12+2*F12+2*G12)-H12</f>
        <v>25.2</v>
      </c>
    </row>
    <row r="13">
      <c r="A13" s="76" t="s">
        <v>215</v>
      </c>
      <c r="B13" s="76" t="s">
        <v>353</v>
      </c>
      <c r="C13" s="60">
        <v>6.0</v>
      </c>
      <c r="D13" s="60">
        <v>3.0</v>
      </c>
      <c r="E13" s="60">
        <v>1.0</v>
      </c>
      <c r="F13" s="60">
        <v>1.0</v>
      </c>
      <c r="G13" s="60">
        <v>0.0</v>
      </c>
      <c r="H13" s="71">
        <v>1.0</v>
      </c>
      <c r="I13" s="73">
        <f t="shared" si="3"/>
        <v>12.1</v>
      </c>
    </row>
    <row r="14">
      <c r="A14" s="76" t="s">
        <v>216</v>
      </c>
      <c r="B14" s="76" t="s">
        <v>111</v>
      </c>
      <c r="C14" s="60">
        <v>26.0</v>
      </c>
      <c r="D14" s="60">
        <v>7.0</v>
      </c>
      <c r="E14" s="60">
        <v>1.0</v>
      </c>
      <c r="F14" s="60">
        <v>0.0</v>
      </c>
      <c r="G14" s="60">
        <v>1.0</v>
      </c>
      <c r="H14" s="71">
        <v>3.0</v>
      </c>
      <c r="I14" s="73">
        <f t="shared" si="3"/>
        <v>34.9</v>
      </c>
    </row>
    <row r="15">
      <c r="A15" s="76" t="s">
        <v>216</v>
      </c>
      <c r="B15" s="76" t="s">
        <v>70</v>
      </c>
      <c r="C15" s="60">
        <v>14.0</v>
      </c>
      <c r="D15" s="60">
        <v>5.0</v>
      </c>
      <c r="E15" s="60">
        <v>3.0</v>
      </c>
      <c r="F15" s="60">
        <v>0.0</v>
      </c>
      <c r="G15" s="60">
        <v>0.0</v>
      </c>
      <c r="H15" s="71">
        <v>3.0</v>
      </c>
      <c r="I15" s="73">
        <f t="shared" si="3"/>
        <v>21.5</v>
      </c>
    </row>
    <row r="16">
      <c r="A16" s="76" t="s">
        <v>216</v>
      </c>
      <c r="B16" s="118" t="s">
        <v>58</v>
      </c>
      <c r="C16" s="77">
        <v>13.0</v>
      </c>
      <c r="D16" s="77">
        <v>2.0</v>
      </c>
      <c r="E16" s="77">
        <v>5.0</v>
      </c>
      <c r="F16" s="77">
        <v>2.0</v>
      </c>
      <c r="G16" s="77">
        <v>0.0</v>
      </c>
      <c r="H16" s="78">
        <v>0.0</v>
      </c>
      <c r="I16" s="73">
        <f t="shared" si="3"/>
        <v>26.9</v>
      </c>
    </row>
    <row r="17">
      <c r="A17" s="96"/>
      <c r="B17" s="102" t="s">
        <v>217</v>
      </c>
      <c r="C17" s="103">
        <f>SUM(C12:C16)</f>
        <v>69</v>
      </c>
      <c r="D17" s="103">
        <f>SUM(D12:D16)*1.2</f>
        <v>27.6</v>
      </c>
      <c r="E17" s="103">
        <f>SUM(E12:E16)*1.5</f>
        <v>24</v>
      </c>
      <c r="F17" s="103">
        <f t="shared" ref="F17:G17" si="4">SUM(F12:F16)*2</f>
        <v>8</v>
      </c>
      <c r="G17" s="103">
        <f t="shared" si="4"/>
        <v>2</v>
      </c>
      <c r="H17" s="104">
        <f>SUM(H12:H16) *-1</f>
        <v>-10</v>
      </c>
      <c r="I17" s="105">
        <f>SUM(C17:H17)</f>
        <v>120.6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92</v>
      </c>
      <c r="C21" s="60">
        <v>35.0</v>
      </c>
      <c r="D21" s="60">
        <v>4.0</v>
      </c>
      <c r="E21" s="60">
        <v>7.0</v>
      </c>
      <c r="F21" s="60">
        <v>2.0</v>
      </c>
      <c r="G21" s="60">
        <v>1.0</v>
      </c>
      <c r="H21" s="71">
        <v>2.0</v>
      </c>
      <c r="I21" s="73">
        <f t="shared" ref="I21:I25" si="5">sum(C21+1.2*D21+1.5*E21+2*F21+2*G21)-H21</f>
        <v>54.3</v>
      </c>
    </row>
    <row r="22">
      <c r="A22" s="76" t="s">
        <v>215</v>
      </c>
      <c r="B22" s="76" t="s">
        <v>352</v>
      </c>
      <c r="C22" s="60">
        <v>35.0</v>
      </c>
      <c r="D22" s="60">
        <v>3.0</v>
      </c>
      <c r="E22" s="60">
        <v>2.0</v>
      </c>
      <c r="F22" s="60">
        <v>1.0</v>
      </c>
      <c r="G22" s="60">
        <v>1.0</v>
      </c>
      <c r="H22" s="71">
        <v>1.0</v>
      </c>
      <c r="I22" s="73">
        <f t="shared" si="5"/>
        <v>44.6</v>
      </c>
    </row>
    <row r="23">
      <c r="A23" s="76" t="s">
        <v>216</v>
      </c>
      <c r="B23" s="76" t="s">
        <v>66</v>
      </c>
      <c r="C23" s="60">
        <v>24.0</v>
      </c>
      <c r="D23" s="60">
        <v>14.0</v>
      </c>
      <c r="E23" s="60">
        <v>9.0</v>
      </c>
      <c r="F23" s="60">
        <v>3.0</v>
      </c>
      <c r="G23" s="60">
        <v>3.0</v>
      </c>
      <c r="H23" s="71">
        <v>3.0</v>
      </c>
      <c r="I23" s="73">
        <f t="shared" si="5"/>
        <v>63.3</v>
      </c>
    </row>
    <row r="24">
      <c r="A24" s="76" t="s">
        <v>216</v>
      </c>
      <c r="B24" s="76" t="s">
        <v>85</v>
      </c>
      <c r="C24" s="60">
        <v>21.0</v>
      </c>
      <c r="D24" s="60">
        <v>4.0</v>
      </c>
      <c r="E24" s="60">
        <v>1.0</v>
      </c>
      <c r="F24" s="60">
        <v>1.0</v>
      </c>
      <c r="G24" s="60">
        <v>0.0</v>
      </c>
      <c r="H24" s="71">
        <v>2.0</v>
      </c>
      <c r="I24" s="73">
        <f t="shared" si="5"/>
        <v>27.3</v>
      </c>
    </row>
    <row r="25">
      <c r="A25" s="76" t="s">
        <v>216</v>
      </c>
      <c r="B25" s="76" t="s">
        <v>110</v>
      </c>
      <c r="C25" s="60">
        <v>10.0</v>
      </c>
      <c r="D25" s="60">
        <v>3.0</v>
      </c>
      <c r="E25" s="60">
        <v>0.0</v>
      </c>
      <c r="F25" s="60">
        <v>1.0</v>
      </c>
      <c r="G25" s="60">
        <v>2.0</v>
      </c>
      <c r="H25" s="71">
        <v>1.0</v>
      </c>
      <c r="I25" s="73">
        <f t="shared" si="5"/>
        <v>18.6</v>
      </c>
    </row>
    <row r="26">
      <c r="A26" s="96"/>
      <c r="B26" s="108" t="s">
        <v>217</v>
      </c>
      <c r="C26" s="109">
        <f>SUM(C21:C25)</f>
        <v>125</v>
      </c>
      <c r="D26" s="109">
        <f>SUM(D21:D25)*1.2</f>
        <v>33.6</v>
      </c>
      <c r="E26" s="109">
        <f>SUM(E21:E25)*1.5</f>
        <v>28.5</v>
      </c>
      <c r="F26" s="109">
        <f t="shared" ref="F26:G26" si="6">SUM(F21:F25)*2</f>
        <v>16</v>
      </c>
      <c r="G26" s="109">
        <f t="shared" si="6"/>
        <v>14</v>
      </c>
      <c r="H26" s="109">
        <f>SUM(H21:H25) *-1</f>
        <v>-9</v>
      </c>
      <c r="I26" s="110">
        <f>SUM(C26:H26)</f>
        <v>208.1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78</v>
      </c>
      <c r="C30" s="60">
        <v>19.0</v>
      </c>
      <c r="D30" s="60">
        <v>6.0</v>
      </c>
      <c r="E30" s="60">
        <v>5.0</v>
      </c>
      <c r="F30" s="60">
        <v>0.0</v>
      </c>
      <c r="G30" s="60">
        <v>1.0</v>
      </c>
      <c r="H30" s="71">
        <v>5.0</v>
      </c>
      <c r="I30" s="73">
        <f t="shared" ref="I30:I34" si="7">sum(C30+1.2*D30+1.5*E30+2*F30+2*G30)-H30</f>
        <v>30.7</v>
      </c>
    </row>
    <row r="31">
      <c r="A31" s="76" t="s">
        <v>215</v>
      </c>
      <c r="B31" s="76" t="s">
        <v>72</v>
      </c>
      <c r="C31" s="60">
        <v>24.0</v>
      </c>
      <c r="D31" s="60">
        <v>4.0</v>
      </c>
      <c r="E31" s="60">
        <v>5.0</v>
      </c>
      <c r="F31" s="60">
        <v>3.0</v>
      </c>
      <c r="G31" s="60">
        <v>0.0</v>
      </c>
      <c r="H31" s="71">
        <v>3.0</v>
      </c>
      <c r="I31" s="73">
        <f t="shared" si="7"/>
        <v>39.3</v>
      </c>
    </row>
    <row r="32">
      <c r="A32" s="76" t="s">
        <v>216</v>
      </c>
      <c r="B32" s="76" t="s">
        <v>81</v>
      </c>
      <c r="C32" s="60">
        <v>6.0</v>
      </c>
      <c r="D32" s="60">
        <v>4.0</v>
      </c>
      <c r="E32" s="60">
        <v>1.0</v>
      </c>
      <c r="F32" s="60">
        <v>0.0</v>
      </c>
      <c r="G32" s="60">
        <v>0.0</v>
      </c>
      <c r="H32" s="71">
        <v>0.0</v>
      </c>
      <c r="I32" s="73">
        <f t="shared" si="7"/>
        <v>12.3</v>
      </c>
    </row>
    <row r="33">
      <c r="A33" s="76" t="s">
        <v>216</v>
      </c>
      <c r="B33" s="76" t="s">
        <v>121</v>
      </c>
      <c r="C33" s="60">
        <v>6.0</v>
      </c>
      <c r="D33" s="60">
        <v>8.0</v>
      </c>
      <c r="E33" s="60">
        <v>5.0</v>
      </c>
      <c r="F33" s="60">
        <v>0.0</v>
      </c>
      <c r="G33" s="60">
        <v>1.0</v>
      </c>
      <c r="H33" s="71">
        <v>1.0</v>
      </c>
      <c r="I33" s="73">
        <f t="shared" si="7"/>
        <v>24.1</v>
      </c>
    </row>
    <row r="34">
      <c r="A34" s="76" t="s">
        <v>216</v>
      </c>
      <c r="B34" s="76" t="s">
        <v>132</v>
      </c>
      <c r="C34" s="60">
        <v>2.0</v>
      </c>
      <c r="D34" s="60">
        <v>1.0</v>
      </c>
      <c r="E34" s="60">
        <v>3.0</v>
      </c>
      <c r="F34" s="60">
        <v>1.0</v>
      </c>
      <c r="G34" s="60">
        <v>0.0</v>
      </c>
      <c r="H34" s="71">
        <v>1.0</v>
      </c>
      <c r="I34" s="73">
        <f t="shared" si="7"/>
        <v>8.7</v>
      </c>
    </row>
    <row r="35">
      <c r="A35" s="96"/>
      <c r="B35" s="108" t="s">
        <v>217</v>
      </c>
      <c r="C35" s="109">
        <f>SUM(C30:C34)</f>
        <v>57</v>
      </c>
      <c r="D35" s="109">
        <f>SUM(D30:D34)*1.2</f>
        <v>27.6</v>
      </c>
      <c r="E35" s="109">
        <f>SUM(E30:E34)*1.5</f>
        <v>28.5</v>
      </c>
      <c r="F35" s="109">
        <f t="shared" ref="F35:G35" si="8">SUM(F30:F34)*2</f>
        <v>8</v>
      </c>
      <c r="G35" s="109">
        <f t="shared" si="8"/>
        <v>4</v>
      </c>
      <c r="H35" s="109">
        <f>SUM(H30:H34) *-1</f>
        <v>-10</v>
      </c>
      <c r="I35" s="110">
        <f>SUM(C35:H35)</f>
        <v>115.1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79</v>
      </c>
      <c r="C3" s="60">
        <v>29.0</v>
      </c>
      <c r="D3" s="60">
        <v>10.0</v>
      </c>
      <c r="E3" s="60">
        <v>7.0</v>
      </c>
      <c r="F3" s="60">
        <v>3.0</v>
      </c>
      <c r="G3" s="60">
        <v>1.0</v>
      </c>
      <c r="H3" s="71">
        <v>1.0</v>
      </c>
      <c r="I3" s="72">
        <f t="shared" ref="I3:I7" si="1">sum(C3+1.2*D3+1.5*E3+2*F3+2*G3)-H3</f>
        <v>58.5</v>
      </c>
    </row>
    <row r="4">
      <c r="A4" s="76" t="s">
        <v>215</v>
      </c>
      <c r="B4" s="76" t="s">
        <v>93</v>
      </c>
      <c r="C4" s="60">
        <v>10.0</v>
      </c>
      <c r="D4" s="60">
        <v>4.0</v>
      </c>
      <c r="E4" s="60">
        <v>5.0</v>
      </c>
      <c r="F4" s="60">
        <v>0.0</v>
      </c>
      <c r="G4" s="60">
        <v>1.0</v>
      </c>
      <c r="H4" s="71">
        <v>1.0</v>
      </c>
      <c r="I4" s="72">
        <f t="shared" si="1"/>
        <v>23.3</v>
      </c>
    </row>
    <row r="5">
      <c r="A5" s="76" t="s">
        <v>216</v>
      </c>
      <c r="B5" s="76" t="s">
        <v>91</v>
      </c>
      <c r="C5" s="60">
        <v>21.0</v>
      </c>
      <c r="D5" s="60">
        <v>10.0</v>
      </c>
      <c r="E5" s="60">
        <v>5.0</v>
      </c>
      <c r="F5" s="60">
        <v>1.0</v>
      </c>
      <c r="G5" s="60">
        <v>2.0</v>
      </c>
      <c r="H5" s="71">
        <v>0.0</v>
      </c>
      <c r="I5" s="72">
        <f t="shared" si="1"/>
        <v>46.5</v>
      </c>
    </row>
    <row r="6">
      <c r="A6" s="76" t="s">
        <v>216</v>
      </c>
      <c r="B6" s="76" t="s">
        <v>350</v>
      </c>
      <c r="C6" s="60">
        <v>8.0</v>
      </c>
      <c r="D6" s="60">
        <v>6.0</v>
      </c>
      <c r="E6" s="60">
        <v>3.0</v>
      </c>
      <c r="F6" s="60">
        <v>1.0</v>
      </c>
      <c r="G6" s="60">
        <v>0.0</v>
      </c>
      <c r="H6" s="71">
        <v>0.0</v>
      </c>
      <c r="I6" s="72">
        <f t="shared" si="1"/>
        <v>21.7</v>
      </c>
    </row>
    <row r="7">
      <c r="A7" s="76" t="s">
        <v>216</v>
      </c>
      <c r="B7" s="118" t="s">
        <v>344</v>
      </c>
      <c r="C7" s="77">
        <v>2.0</v>
      </c>
      <c r="D7" s="77">
        <v>4.0</v>
      </c>
      <c r="E7" s="77">
        <v>1.0</v>
      </c>
      <c r="F7" s="77">
        <v>0.0</v>
      </c>
      <c r="G7" s="77">
        <v>1.0</v>
      </c>
      <c r="H7" s="78">
        <v>1.0</v>
      </c>
      <c r="I7" s="72">
        <f t="shared" si="1"/>
        <v>9.3</v>
      </c>
    </row>
    <row r="8">
      <c r="A8" s="96"/>
      <c r="B8" s="102" t="s">
        <v>217</v>
      </c>
      <c r="C8" s="103">
        <f>SUM(C3:C7)</f>
        <v>70</v>
      </c>
      <c r="D8" s="103">
        <f>SUM(D3:D7)*1.2</f>
        <v>40.8</v>
      </c>
      <c r="E8" s="103">
        <f>SUM(E3:E7)*1.5</f>
        <v>31.5</v>
      </c>
      <c r="F8" s="103">
        <f t="shared" ref="F8:G8" si="2">SUM(F3:F7)*2</f>
        <v>10</v>
      </c>
      <c r="G8" s="103">
        <f t="shared" si="2"/>
        <v>10</v>
      </c>
      <c r="H8" s="104">
        <f>SUM(H3:H7) *-1</f>
        <v>-3</v>
      </c>
      <c r="I8" s="105">
        <f>SUM(C8:H8)</f>
        <v>159.3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87</v>
      </c>
      <c r="C12" s="60">
        <v>29.0</v>
      </c>
      <c r="D12" s="60">
        <v>7.0</v>
      </c>
      <c r="E12" s="60">
        <v>8.0</v>
      </c>
      <c r="F12" s="60">
        <v>0.0</v>
      </c>
      <c r="G12" s="60">
        <v>0.0</v>
      </c>
      <c r="H12" s="71">
        <v>1.0</v>
      </c>
      <c r="I12" s="73">
        <f t="shared" ref="I12:I16" si="3">sum(C12+1.2*D12+1.5*E12+2*F12+2*G12)-H12</f>
        <v>48.4</v>
      </c>
    </row>
    <row r="13">
      <c r="A13" s="76" t="s">
        <v>215</v>
      </c>
      <c r="B13" s="76" t="s">
        <v>354</v>
      </c>
      <c r="C13" s="60">
        <v>8.0</v>
      </c>
      <c r="D13" s="60">
        <v>2.0</v>
      </c>
      <c r="E13" s="60">
        <v>0.0</v>
      </c>
      <c r="F13" s="60">
        <v>0.0</v>
      </c>
      <c r="G13" s="60">
        <v>0.0</v>
      </c>
      <c r="H13" s="71">
        <v>1.0</v>
      </c>
      <c r="I13" s="73">
        <f t="shared" si="3"/>
        <v>9.4</v>
      </c>
    </row>
    <row r="14">
      <c r="A14" s="76" t="s">
        <v>216</v>
      </c>
      <c r="B14" s="76" t="s">
        <v>80</v>
      </c>
      <c r="C14" s="60">
        <v>20.0</v>
      </c>
      <c r="D14" s="60">
        <v>4.0</v>
      </c>
      <c r="E14" s="60">
        <v>4.0</v>
      </c>
      <c r="F14" s="60">
        <v>1.0</v>
      </c>
      <c r="G14" s="60">
        <v>1.0</v>
      </c>
      <c r="H14" s="71">
        <v>1.0</v>
      </c>
      <c r="I14" s="73">
        <f t="shared" si="3"/>
        <v>33.8</v>
      </c>
    </row>
    <row r="15">
      <c r="A15" s="76" t="s">
        <v>216</v>
      </c>
      <c r="B15" s="76" t="s">
        <v>101</v>
      </c>
      <c r="C15" s="60">
        <v>11.0</v>
      </c>
      <c r="D15" s="60">
        <v>6.0</v>
      </c>
      <c r="E15" s="60">
        <v>6.0</v>
      </c>
      <c r="F15" s="60">
        <v>0.0</v>
      </c>
      <c r="G15" s="60">
        <v>2.0</v>
      </c>
      <c r="H15" s="71">
        <v>4.0</v>
      </c>
      <c r="I15" s="73">
        <f t="shared" si="3"/>
        <v>27.2</v>
      </c>
    </row>
    <row r="16">
      <c r="A16" s="76" t="s">
        <v>216</v>
      </c>
      <c r="B16" s="118" t="s">
        <v>335</v>
      </c>
      <c r="C16" s="77">
        <v>29.0</v>
      </c>
      <c r="D16" s="77">
        <v>11.0</v>
      </c>
      <c r="E16" s="77">
        <v>4.0</v>
      </c>
      <c r="F16" s="77">
        <v>2.0</v>
      </c>
      <c r="G16" s="77">
        <v>1.0</v>
      </c>
      <c r="H16" s="78">
        <v>2.0</v>
      </c>
      <c r="I16" s="73">
        <f t="shared" si="3"/>
        <v>52.2</v>
      </c>
    </row>
    <row r="17">
      <c r="A17" s="96"/>
      <c r="B17" s="102" t="s">
        <v>217</v>
      </c>
      <c r="C17" s="103">
        <f>SUM(C12:C16)</f>
        <v>97</v>
      </c>
      <c r="D17" s="103">
        <f>SUM(D12:D16)*1.2</f>
        <v>36</v>
      </c>
      <c r="E17" s="103">
        <f>SUM(E12:E16)*1.5</f>
        <v>33</v>
      </c>
      <c r="F17" s="103">
        <f t="shared" ref="F17:G17" si="4">SUM(F12:F16)*2</f>
        <v>6</v>
      </c>
      <c r="G17" s="103">
        <f t="shared" si="4"/>
        <v>8</v>
      </c>
      <c r="H17" s="104">
        <f>SUM(H12:H16) *-1</f>
        <v>-9</v>
      </c>
      <c r="I17" s="105">
        <f>SUM(C17:H17)</f>
        <v>171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73</v>
      </c>
      <c r="C21" s="60">
        <v>33.0</v>
      </c>
      <c r="D21" s="60">
        <v>12.0</v>
      </c>
      <c r="E21" s="60">
        <v>8.0</v>
      </c>
      <c r="F21" s="60">
        <v>1.0</v>
      </c>
      <c r="G21" s="60">
        <v>2.0</v>
      </c>
      <c r="H21" s="71">
        <v>2.0</v>
      </c>
      <c r="I21" s="73">
        <f t="shared" ref="I21:I25" si="5">sum(C21+1.2*D21+1.5*E21+2*F21+2*G21)-H21</f>
        <v>63.4</v>
      </c>
    </row>
    <row r="22">
      <c r="A22" s="76" t="s">
        <v>215</v>
      </c>
      <c r="B22" s="76" t="s">
        <v>44</v>
      </c>
      <c r="C22" s="60">
        <v>14.0</v>
      </c>
      <c r="D22" s="60">
        <v>7.0</v>
      </c>
      <c r="E22" s="60">
        <v>4.0</v>
      </c>
      <c r="F22" s="60">
        <v>1.0</v>
      </c>
      <c r="G22" s="60">
        <v>0.0</v>
      </c>
      <c r="H22" s="71">
        <v>2.0</v>
      </c>
      <c r="I22" s="73">
        <f t="shared" si="5"/>
        <v>28.4</v>
      </c>
    </row>
    <row r="23">
      <c r="A23" s="76" t="s">
        <v>216</v>
      </c>
      <c r="B23" s="76" t="s">
        <v>98</v>
      </c>
      <c r="C23" s="60">
        <v>19.0</v>
      </c>
      <c r="D23" s="60">
        <v>4.0</v>
      </c>
      <c r="E23" s="60">
        <v>1.0</v>
      </c>
      <c r="F23" s="60">
        <v>0.0</v>
      </c>
      <c r="G23" s="60">
        <v>0.0</v>
      </c>
      <c r="H23" s="71">
        <v>1.0</v>
      </c>
      <c r="I23" s="73">
        <f t="shared" si="5"/>
        <v>24.3</v>
      </c>
    </row>
    <row r="24">
      <c r="A24" s="76" t="s">
        <v>216</v>
      </c>
      <c r="B24" s="76" t="s">
        <v>134</v>
      </c>
      <c r="C24" s="60">
        <v>11.0</v>
      </c>
      <c r="D24" s="60">
        <v>2.0</v>
      </c>
      <c r="E24" s="60">
        <v>1.0</v>
      </c>
      <c r="F24" s="60">
        <v>0.0</v>
      </c>
      <c r="G24" s="60">
        <v>1.0</v>
      </c>
      <c r="H24" s="71">
        <v>1.0</v>
      </c>
      <c r="I24" s="73">
        <f t="shared" si="5"/>
        <v>15.9</v>
      </c>
    </row>
    <row r="25">
      <c r="A25" s="76" t="s">
        <v>216</v>
      </c>
      <c r="B25" s="76" t="s">
        <v>102</v>
      </c>
      <c r="C25" s="60">
        <v>12.0</v>
      </c>
      <c r="D25" s="60">
        <v>6.0</v>
      </c>
      <c r="E25" s="60">
        <v>1.0</v>
      </c>
      <c r="F25" s="60">
        <v>0.0</v>
      </c>
      <c r="G25" s="60">
        <v>0.0</v>
      </c>
      <c r="H25" s="71">
        <v>0.0</v>
      </c>
      <c r="I25" s="73">
        <f t="shared" si="5"/>
        <v>20.7</v>
      </c>
    </row>
    <row r="26">
      <c r="A26" s="96"/>
      <c r="B26" s="108" t="s">
        <v>217</v>
      </c>
      <c r="C26" s="109">
        <f>SUM(C21:C25)</f>
        <v>89</v>
      </c>
      <c r="D26" s="109">
        <f>SUM(D21:D25)*1.2</f>
        <v>37.2</v>
      </c>
      <c r="E26" s="109">
        <f>SUM(E21:E25)*1.5</f>
        <v>22.5</v>
      </c>
      <c r="F26" s="109">
        <f t="shared" ref="F26:G26" si="6">SUM(F21:F25)*2</f>
        <v>4</v>
      </c>
      <c r="G26" s="109">
        <f t="shared" si="6"/>
        <v>6</v>
      </c>
      <c r="H26" s="109">
        <f>SUM(H21:H25) *-1</f>
        <v>-6</v>
      </c>
      <c r="I26" s="110">
        <f>SUM(C26:H26)</f>
        <v>152.7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12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337</v>
      </c>
      <c r="C30" s="60">
        <v>9.0</v>
      </c>
      <c r="D30" s="60">
        <v>3.0</v>
      </c>
      <c r="E30" s="60">
        <v>11.0</v>
      </c>
      <c r="F30" s="60">
        <v>2.0</v>
      </c>
      <c r="G30" s="60">
        <v>2.0</v>
      </c>
      <c r="H30" s="71">
        <v>2.0</v>
      </c>
      <c r="I30" s="73">
        <f t="shared" ref="I30:I34" si="7">sum(C30+1.2*D30+1.5*E30+2*F30+2*G30)-H30</f>
        <v>35.1</v>
      </c>
    </row>
    <row r="31">
      <c r="A31" s="76" t="s">
        <v>215</v>
      </c>
      <c r="B31" s="76" t="s">
        <v>129</v>
      </c>
      <c r="C31" s="60">
        <v>4.0</v>
      </c>
      <c r="D31" s="60">
        <v>2.0</v>
      </c>
      <c r="E31" s="60">
        <v>3.0</v>
      </c>
      <c r="F31" s="60">
        <v>2.0</v>
      </c>
      <c r="G31" s="60">
        <v>0.0</v>
      </c>
      <c r="H31" s="71">
        <v>0.0</v>
      </c>
      <c r="I31" s="73">
        <f t="shared" si="7"/>
        <v>14.9</v>
      </c>
    </row>
    <row r="32">
      <c r="A32" s="76" t="s">
        <v>216</v>
      </c>
      <c r="B32" s="76" t="s">
        <v>69</v>
      </c>
      <c r="C32" s="60">
        <v>25.0</v>
      </c>
      <c r="D32" s="60">
        <v>7.0</v>
      </c>
      <c r="E32" s="60">
        <v>6.0</v>
      </c>
      <c r="F32" s="60">
        <v>1.0</v>
      </c>
      <c r="G32" s="60">
        <v>0.0</v>
      </c>
      <c r="H32" s="71">
        <v>1.0</v>
      </c>
      <c r="I32" s="73">
        <f t="shared" si="7"/>
        <v>43.4</v>
      </c>
    </row>
    <row r="33">
      <c r="A33" s="76" t="s">
        <v>216</v>
      </c>
      <c r="B33" s="76" t="s">
        <v>338</v>
      </c>
      <c r="C33" s="60">
        <v>13.0</v>
      </c>
      <c r="D33" s="60">
        <v>7.0</v>
      </c>
      <c r="E33" s="60">
        <v>2.0</v>
      </c>
      <c r="F33" s="60">
        <v>1.0</v>
      </c>
      <c r="G33" s="60">
        <v>1.0</v>
      </c>
      <c r="H33" s="71">
        <v>3.0</v>
      </c>
      <c r="I33" s="73">
        <f t="shared" si="7"/>
        <v>25.4</v>
      </c>
    </row>
    <row r="34">
      <c r="A34" s="76" t="s">
        <v>216</v>
      </c>
      <c r="B34" s="76" t="s">
        <v>355</v>
      </c>
      <c r="C34" s="60">
        <v>8.0</v>
      </c>
      <c r="D34" s="60">
        <v>4.0</v>
      </c>
      <c r="E34" s="60">
        <v>2.0</v>
      </c>
      <c r="F34" s="60">
        <v>0.0</v>
      </c>
      <c r="G34" s="60">
        <v>0.0</v>
      </c>
      <c r="H34" s="71">
        <v>1.0</v>
      </c>
      <c r="I34" s="73">
        <f t="shared" si="7"/>
        <v>14.8</v>
      </c>
    </row>
    <row r="35">
      <c r="A35" s="96"/>
      <c r="B35" s="108" t="s">
        <v>217</v>
      </c>
      <c r="C35" s="109">
        <f>SUM(C30:C34)</f>
        <v>59</v>
      </c>
      <c r="D35" s="109">
        <f>SUM(D30:D34)*1.2</f>
        <v>27.6</v>
      </c>
      <c r="E35" s="109">
        <f>SUM(E30:E34)*1.5</f>
        <v>36</v>
      </c>
      <c r="F35" s="109">
        <f t="shared" ref="F35:G35" si="8">SUM(F30:F34)*2</f>
        <v>12</v>
      </c>
      <c r="G35" s="109">
        <f t="shared" si="8"/>
        <v>6</v>
      </c>
      <c r="H35" s="109">
        <f>SUM(H30:H34) *-1</f>
        <v>-7</v>
      </c>
      <c r="I35" s="110">
        <f>SUM(C35:H35)</f>
        <v>133.6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83</v>
      </c>
      <c r="C3" s="60">
        <v>11.0</v>
      </c>
      <c r="D3" s="60">
        <v>2.0</v>
      </c>
      <c r="E3" s="60">
        <v>4.0</v>
      </c>
      <c r="F3" s="60">
        <v>0.0</v>
      </c>
      <c r="G3" s="60">
        <v>0.0</v>
      </c>
      <c r="H3" s="71">
        <v>0.0</v>
      </c>
      <c r="I3" s="72">
        <f t="shared" ref="I3:I7" si="1">sum(C3+1.2*D3+1.5*E3+2*F3+2*G3)-H3</f>
        <v>19.4</v>
      </c>
    </row>
    <row r="4">
      <c r="A4" s="76" t="s">
        <v>215</v>
      </c>
      <c r="B4" s="76" t="s">
        <v>356</v>
      </c>
      <c r="C4" s="60">
        <v>4.0</v>
      </c>
      <c r="D4" s="60">
        <v>3.0</v>
      </c>
      <c r="E4" s="60">
        <v>0.0</v>
      </c>
      <c r="F4" s="60">
        <v>1.0</v>
      </c>
      <c r="G4" s="60">
        <v>0.0</v>
      </c>
      <c r="H4" s="71">
        <v>1.0</v>
      </c>
      <c r="I4" s="72">
        <f t="shared" si="1"/>
        <v>8.6</v>
      </c>
    </row>
    <row r="5">
      <c r="A5" s="76" t="s">
        <v>216</v>
      </c>
      <c r="B5" s="76" t="s">
        <v>66</v>
      </c>
      <c r="C5" s="60">
        <v>16.0</v>
      </c>
      <c r="D5" s="60">
        <v>16.0</v>
      </c>
      <c r="E5" s="60">
        <v>8.0</v>
      </c>
      <c r="F5" s="60">
        <v>0.0</v>
      </c>
      <c r="G5" s="60">
        <v>1.0</v>
      </c>
      <c r="H5" s="71">
        <v>4.0</v>
      </c>
      <c r="I5" s="72">
        <f t="shared" si="1"/>
        <v>45.2</v>
      </c>
    </row>
    <row r="6">
      <c r="A6" s="76" t="s">
        <v>216</v>
      </c>
      <c r="B6" s="76" t="s">
        <v>111</v>
      </c>
      <c r="C6" s="60">
        <v>19.0</v>
      </c>
      <c r="D6" s="60">
        <v>6.0</v>
      </c>
      <c r="E6" s="60">
        <v>5.0</v>
      </c>
      <c r="F6" s="60">
        <v>1.0</v>
      </c>
      <c r="G6" s="60">
        <v>0.0</v>
      </c>
      <c r="H6" s="71">
        <v>1.0</v>
      </c>
      <c r="I6" s="72">
        <f t="shared" si="1"/>
        <v>34.7</v>
      </c>
    </row>
    <row r="7">
      <c r="A7" s="76" t="s">
        <v>216</v>
      </c>
      <c r="B7" s="118" t="s">
        <v>89</v>
      </c>
      <c r="C7" s="77">
        <v>24.0</v>
      </c>
      <c r="D7" s="77">
        <v>13.0</v>
      </c>
      <c r="E7" s="77">
        <v>8.0</v>
      </c>
      <c r="F7" s="77">
        <v>3.0</v>
      </c>
      <c r="G7" s="77">
        <v>1.0</v>
      </c>
      <c r="H7" s="78">
        <v>5.0</v>
      </c>
      <c r="I7" s="72">
        <f t="shared" si="1"/>
        <v>54.6</v>
      </c>
    </row>
    <row r="8">
      <c r="A8" s="96"/>
      <c r="B8" s="102" t="s">
        <v>217</v>
      </c>
      <c r="C8" s="103">
        <f>SUM(C3:C7)</f>
        <v>74</v>
      </c>
      <c r="D8" s="103">
        <f>SUM(D3:D7)*1.2</f>
        <v>48</v>
      </c>
      <c r="E8" s="103">
        <f>SUM(E3:E7)*1.5</f>
        <v>37.5</v>
      </c>
      <c r="F8" s="103">
        <f t="shared" ref="F8:G8" si="2">SUM(F3:F7)*2</f>
        <v>10</v>
      </c>
      <c r="G8" s="103">
        <f t="shared" si="2"/>
        <v>4</v>
      </c>
      <c r="H8" s="104">
        <f>SUM(H3:H7) *-1</f>
        <v>-11</v>
      </c>
      <c r="I8" s="105">
        <f>SUM(C8:H8)</f>
        <v>162.5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27.0</v>
      </c>
      <c r="D12" s="60">
        <v>2.0</v>
      </c>
      <c r="E12" s="60">
        <v>7.0</v>
      </c>
      <c r="F12" s="60">
        <v>2.0</v>
      </c>
      <c r="G12" s="60">
        <v>0.0</v>
      </c>
      <c r="H12" s="71">
        <v>4.0</v>
      </c>
      <c r="I12" s="73">
        <f t="shared" ref="I12:I16" si="3">sum(C12+1.2*D12+1.5*E12+2*F12+2*G12)-H12</f>
        <v>39.9</v>
      </c>
    </row>
    <row r="13">
      <c r="A13" s="76" t="s">
        <v>215</v>
      </c>
      <c r="B13" s="76" t="s">
        <v>352</v>
      </c>
      <c r="C13" s="60">
        <v>25.0</v>
      </c>
      <c r="D13" s="60">
        <v>3.0</v>
      </c>
      <c r="E13" s="60">
        <v>1.0</v>
      </c>
      <c r="F13" s="60">
        <v>0.0</v>
      </c>
      <c r="G13" s="60">
        <v>2.0</v>
      </c>
      <c r="H13" s="71">
        <v>2.0</v>
      </c>
      <c r="I13" s="73">
        <f t="shared" si="3"/>
        <v>32.1</v>
      </c>
    </row>
    <row r="14">
      <c r="A14" s="76" t="s">
        <v>216</v>
      </c>
      <c r="B14" s="76" t="s">
        <v>85</v>
      </c>
      <c r="C14" s="60">
        <v>9.0</v>
      </c>
      <c r="D14" s="60">
        <v>5.0</v>
      </c>
      <c r="E14" s="60">
        <v>2.0</v>
      </c>
      <c r="F14" s="60">
        <v>1.0</v>
      </c>
      <c r="G14" s="60">
        <v>1.0</v>
      </c>
      <c r="H14" s="71">
        <v>4.0</v>
      </c>
      <c r="I14" s="73">
        <f t="shared" si="3"/>
        <v>18</v>
      </c>
    </row>
    <row r="15">
      <c r="A15" s="76" t="s">
        <v>216</v>
      </c>
      <c r="B15" s="76" t="s">
        <v>120</v>
      </c>
      <c r="C15" s="60">
        <v>12.0</v>
      </c>
      <c r="D15" s="60">
        <v>6.0</v>
      </c>
      <c r="E15" s="60">
        <v>3.0</v>
      </c>
      <c r="F15" s="60">
        <v>0.0</v>
      </c>
      <c r="G15" s="60">
        <v>0.0</v>
      </c>
      <c r="H15" s="71">
        <v>1.0</v>
      </c>
      <c r="I15" s="73">
        <f t="shared" si="3"/>
        <v>22.7</v>
      </c>
    </row>
    <row r="16">
      <c r="A16" s="76" t="s">
        <v>216</v>
      </c>
      <c r="B16" s="118" t="s">
        <v>121</v>
      </c>
      <c r="C16" s="77">
        <v>13.0</v>
      </c>
      <c r="D16" s="77">
        <v>6.0</v>
      </c>
      <c r="E16" s="77">
        <v>4.0</v>
      </c>
      <c r="F16" s="77">
        <v>0.0</v>
      </c>
      <c r="G16" s="77">
        <v>0.0</v>
      </c>
      <c r="H16" s="78">
        <v>1.0</v>
      </c>
      <c r="I16" s="73">
        <f t="shared" si="3"/>
        <v>25.2</v>
      </c>
    </row>
    <row r="17">
      <c r="A17" s="96"/>
      <c r="B17" s="102" t="s">
        <v>217</v>
      </c>
      <c r="C17" s="103">
        <f>SUM(C12:C16)</f>
        <v>86</v>
      </c>
      <c r="D17" s="103">
        <f>SUM(D12:D16)*1.2</f>
        <v>26.4</v>
      </c>
      <c r="E17" s="103">
        <f>SUM(E12:E16)*1.5</f>
        <v>25.5</v>
      </c>
      <c r="F17" s="103">
        <f t="shared" ref="F17:G17" si="4">SUM(F12:F16)*2</f>
        <v>6</v>
      </c>
      <c r="G17" s="103">
        <f t="shared" si="4"/>
        <v>6</v>
      </c>
      <c r="H17" s="104">
        <f>SUM(H12:H16) *-1</f>
        <v>-12</v>
      </c>
      <c r="I17" s="105">
        <f>SUM(C17:H17)</f>
        <v>137.9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84</v>
      </c>
      <c r="C21" s="60">
        <v>43.0</v>
      </c>
      <c r="D21" s="60">
        <v>6.0</v>
      </c>
      <c r="E21" s="60">
        <v>6.0</v>
      </c>
      <c r="F21" s="60">
        <v>0.0</v>
      </c>
      <c r="G21" s="60">
        <v>1.0</v>
      </c>
      <c r="H21" s="71">
        <v>4.0</v>
      </c>
      <c r="I21" s="73">
        <f t="shared" ref="I21:I25" si="5">sum(C21+1.2*D21+1.5*E21+2*F21+2*G21)-H21</f>
        <v>57.2</v>
      </c>
    </row>
    <row r="22">
      <c r="A22" s="76" t="s">
        <v>215</v>
      </c>
      <c r="B22" s="76" t="s">
        <v>334</v>
      </c>
      <c r="C22" s="60">
        <v>4.0</v>
      </c>
      <c r="D22" s="60">
        <v>3.0</v>
      </c>
      <c r="E22" s="60">
        <v>6.0</v>
      </c>
      <c r="F22" s="60">
        <v>2.0</v>
      </c>
      <c r="G22" s="60">
        <v>1.0</v>
      </c>
      <c r="H22" s="71">
        <v>0.0</v>
      </c>
      <c r="I22" s="73">
        <f t="shared" si="5"/>
        <v>22.6</v>
      </c>
    </row>
    <row r="23">
      <c r="A23" s="76" t="s">
        <v>216</v>
      </c>
      <c r="B23" s="76" t="s">
        <v>70</v>
      </c>
      <c r="C23" s="60">
        <v>27.0</v>
      </c>
      <c r="D23" s="60">
        <v>12.0</v>
      </c>
      <c r="E23" s="60">
        <v>1.0</v>
      </c>
      <c r="F23" s="60">
        <v>1.0</v>
      </c>
      <c r="G23" s="60">
        <v>2.0</v>
      </c>
      <c r="H23" s="71">
        <v>2.0</v>
      </c>
      <c r="I23" s="73">
        <f t="shared" si="5"/>
        <v>46.9</v>
      </c>
    </row>
    <row r="24">
      <c r="A24" s="76" t="s">
        <v>216</v>
      </c>
      <c r="B24" s="76" t="s">
        <v>82</v>
      </c>
      <c r="C24" s="60">
        <v>13.0</v>
      </c>
      <c r="D24" s="60">
        <v>9.0</v>
      </c>
      <c r="E24" s="60">
        <v>4.0</v>
      </c>
      <c r="F24" s="60">
        <v>2.0</v>
      </c>
      <c r="G24" s="60">
        <v>0.0</v>
      </c>
      <c r="H24" s="71">
        <v>2.0</v>
      </c>
      <c r="I24" s="73">
        <f t="shared" si="5"/>
        <v>31.8</v>
      </c>
    </row>
    <row r="25">
      <c r="A25" s="76" t="s">
        <v>216</v>
      </c>
      <c r="B25" s="76" t="s">
        <v>132</v>
      </c>
      <c r="C25" s="60">
        <v>12.0</v>
      </c>
      <c r="D25" s="60">
        <v>6.0</v>
      </c>
      <c r="E25" s="60">
        <v>3.0</v>
      </c>
      <c r="F25" s="60">
        <v>0.0</v>
      </c>
      <c r="G25" s="60">
        <v>1.0</v>
      </c>
      <c r="H25" s="71">
        <v>0.0</v>
      </c>
      <c r="I25" s="73">
        <f t="shared" si="5"/>
        <v>25.7</v>
      </c>
    </row>
    <row r="26">
      <c r="A26" s="96"/>
      <c r="B26" s="108" t="s">
        <v>217</v>
      </c>
      <c r="C26" s="109">
        <f>SUM(C21:C25)</f>
        <v>99</v>
      </c>
      <c r="D26" s="109">
        <f>SUM(D21:D25)*1.2</f>
        <v>43.2</v>
      </c>
      <c r="E26" s="109">
        <f>SUM(E21:E25)*1.5</f>
        <v>30</v>
      </c>
      <c r="F26" s="109">
        <f t="shared" ref="F26:G26" si="6">SUM(F21:F25)*2</f>
        <v>10</v>
      </c>
      <c r="G26" s="109">
        <f t="shared" si="6"/>
        <v>10</v>
      </c>
      <c r="H26" s="109">
        <f>SUM(H21:H25) *-1</f>
        <v>-8</v>
      </c>
      <c r="I26" s="110">
        <f>SUM(C26:H26)</f>
        <v>184.2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92</v>
      </c>
      <c r="C30" s="60">
        <v>6.0</v>
      </c>
      <c r="D30" s="60">
        <v>2.0</v>
      </c>
      <c r="E30" s="60">
        <v>8.0</v>
      </c>
      <c r="F30" s="60">
        <v>4.0</v>
      </c>
      <c r="G30" s="60">
        <v>0.0</v>
      </c>
      <c r="H30" s="71">
        <v>3.0</v>
      </c>
      <c r="I30" s="73">
        <f t="shared" ref="I30:I34" si="7">sum(C30+1.2*D30+1.5*E30+2*F30+2*G30)-H30</f>
        <v>25.4</v>
      </c>
    </row>
    <row r="31">
      <c r="A31" s="76" t="s">
        <v>215</v>
      </c>
      <c r="B31" s="76" t="s">
        <v>72</v>
      </c>
      <c r="C31" s="60">
        <v>8.0</v>
      </c>
      <c r="D31" s="60">
        <v>13.0</v>
      </c>
      <c r="E31" s="60">
        <v>2.0</v>
      </c>
      <c r="F31" s="60">
        <v>2.0</v>
      </c>
      <c r="G31" s="60">
        <v>1.0</v>
      </c>
      <c r="H31" s="71">
        <v>4.0</v>
      </c>
      <c r="I31" s="73">
        <f t="shared" si="7"/>
        <v>28.6</v>
      </c>
    </row>
    <row r="32">
      <c r="A32" s="76" t="s">
        <v>216</v>
      </c>
      <c r="B32" s="76" t="s">
        <v>58</v>
      </c>
      <c r="C32" s="60">
        <v>20.0</v>
      </c>
      <c r="D32" s="60">
        <v>4.0</v>
      </c>
      <c r="E32" s="60">
        <v>2.0</v>
      </c>
      <c r="F32" s="60">
        <v>1.0</v>
      </c>
      <c r="G32" s="60">
        <v>0.0</v>
      </c>
      <c r="H32" s="71">
        <v>1.0</v>
      </c>
      <c r="I32" s="73">
        <f t="shared" si="7"/>
        <v>28.8</v>
      </c>
    </row>
    <row r="33">
      <c r="A33" s="76" t="s">
        <v>216</v>
      </c>
      <c r="B33" s="76" t="s">
        <v>114</v>
      </c>
      <c r="C33" s="60">
        <v>23.0</v>
      </c>
      <c r="D33" s="60">
        <v>2.0</v>
      </c>
      <c r="E33" s="60">
        <v>3.0</v>
      </c>
      <c r="F33" s="60">
        <v>1.0</v>
      </c>
      <c r="G33" s="60">
        <v>1.0</v>
      </c>
      <c r="H33" s="71">
        <v>1.0</v>
      </c>
      <c r="I33" s="73">
        <f t="shared" si="7"/>
        <v>32.9</v>
      </c>
    </row>
    <row r="34">
      <c r="A34" s="76" t="s">
        <v>216</v>
      </c>
      <c r="B34" s="76" t="s">
        <v>357</v>
      </c>
      <c r="C34" s="60">
        <v>5.0</v>
      </c>
      <c r="D34" s="60">
        <v>2.0</v>
      </c>
      <c r="E34" s="60">
        <v>3.0</v>
      </c>
      <c r="F34" s="60">
        <v>2.0</v>
      </c>
      <c r="G34" s="60">
        <v>1.0</v>
      </c>
      <c r="H34" s="71">
        <v>1.0</v>
      </c>
      <c r="I34" s="73">
        <f t="shared" si="7"/>
        <v>16.9</v>
      </c>
    </row>
    <row r="35">
      <c r="A35" s="96"/>
      <c r="B35" s="108" t="s">
        <v>217</v>
      </c>
      <c r="C35" s="109">
        <f>SUM(C30:C34)</f>
        <v>62</v>
      </c>
      <c r="D35" s="109">
        <f>SUM(D30:D34)*1.2</f>
        <v>27.6</v>
      </c>
      <c r="E35" s="109">
        <f>SUM(E30:E34)*1.5</f>
        <v>27</v>
      </c>
      <c r="F35" s="109">
        <f t="shared" ref="F35:G35" si="8">SUM(F30:F34)*2</f>
        <v>20</v>
      </c>
      <c r="G35" s="109">
        <f t="shared" si="8"/>
        <v>6</v>
      </c>
      <c r="H35" s="109">
        <f>SUM(H30:H34) *-1</f>
        <v>-10</v>
      </c>
      <c r="I35" s="110">
        <f>SUM(C35:H35)</f>
        <v>132.6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72</v>
      </c>
      <c r="C3" s="60">
        <v>17.0</v>
      </c>
      <c r="D3" s="60">
        <v>1.0</v>
      </c>
      <c r="E3" s="60">
        <v>4.0</v>
      </c>
      <c r="F3" s="60">
        <v>0.0</v>
      </c>
      <c r="G3" s="60">
        <v>0.0</v>
      </c>
      <c r="H3" s="71">
        <v>1.0</v>
      </c>
      <c r="I3" s="72">
        <f t="shared" ref="I3:I7" si="1">sum(C3+1.2*D3+1.5*E3+2*F3+2*G3)-H3</f>
        <v>23.2</v>
      </c>
    </row>
    <row r="4">
      <c r="A4" s="76" t="s">
        <v>215</v>
      </c>
      <c r="B4" s="76" t="s">
        <v>44</v>
      </c>
      <c r="C4" s="60">
        <v>12.0</v>
      </c>
      <c r="D4" s="60">
        <v>3.0</v>
      </c>
      <c r="E4" s="60">
        <v>4.0</v>
      </c>
      <c r="F4" s="60">
        <v>3.0</v>
      </c>
      <c r="G4" s="60">
        <v>0.0</v>
      </c>
      <c r="H4" s="71">
        <v>2.0</v>
      </c>
      <c r="I4" s="72">
        <f t="shared" si="1"/>
        <v>25.6</v>
      </c>
    </row>
    <row r="5">
      <c r="A5" s="76" t="s">
        <v>216</v>
      </c>
      <c r="B5" s="76" t="s">
        <v>66</v>
      </c>
      <c r="C5" s="60">
        <v>32.0</v>
      </c>
      <c r="D5" s="60">
        <v>8.0</v>
      </c>
      <c r="E5" s="60">
        <v>9.0</v>
      </c>
      <c r="F5" s="60">
        <v>3.0</v>
      </c>
      <c r="G5" s="60">
        <v>0.0</v>
      </c>
      <c r="H5" s="71">
        <v>7.0</v>
      </c>
      <c r="I5" s="72">
        <f t="shared" si="1"/>
        <v>54.1</v>
      </c>
    </row>
    <row r="6">
      <c r="A6" s="76" t="s">
        <v>216</v>
      </c>
      <c r="B6" s="76" t="s">
        <v>58</v>
      </c>
      <c r="C6" s="60">
        <v>9.0</v>
      </c>
      <c r="D6" s="60">
        <v>3.0</v>
      </c>
      <c r="E6" s="60">
        <v>6.0</v>
      </c>
      <c r="F6" s="60">
        <v>2.0</v>
      </c>
      <c r="G6" s="60">
        <v>0.0</v>
      </c>
      <c r="H6" s="71">
        <v>1.0</v>
      </c>
      <c r="I6" s="72">
        <f t="shared" si="1"/>
        <v>24.6</v>
      </c>
    </row>
    <row r="7">
      <c r="A7" s="76" t="s">
        <v>216</v>
      </c>
      <c r="B7" s="118" t="s">
        <v>110</v>
      </c>
      <c r="C7" s="77">
        <v>0.0</v>
      </c>
      <c r="D7" s="77">
        <v>8.0</v>
      </c>
      <c r="E7" s="77">
        <v>1.0</v>
      </c>
      <c r="F7" s="77">
        <v>0.0</v>
      </c>
      <c r="G7" s="77">
        <v>1.0</v>
      </c>
      <c r="H7" s="78">
        <v>1.0</v>
      </c>
      <c r="I7" s="72">
        <f t="shared" si="1"/>
        <v>12.1</v>
      </c>
    </row>
    <row r="8">
      <c r="A8" s="96"/>
      <c r="B8" s="102" t="s">
        <v>217</v>
      </c>
      <c r="C8" s="103">
        <f>SUM(C3:C7)</f>
        <v>70</v>
      </c>
      <c r="D8" s="103">
        <f>SUM(D3:D7)*1.2</f>
        <v>27.6</v>
      </c>
      <c r="E8" s="103">
        <f>SUM(E3:E7)*1.5</f>
        <v>36</v>
      </c>
      <c r="F8" s="103">
        <f t="shared" ref="F8:G8" si="2">SUM(F3:F7)*2</f>
        <v>16</v>
      </c>
      <c r="G8" s="103">
        <f t="shared" si="2"/>
        <v>2</v>
      </c>
      <c r="H8" s="104">
        <f>SUM(H3:H7) *-1</f>
        <v>-12</v>
      </c>
      <c r="I8" s="105">
        <f>SUM(C8:H8)</f>
        <v>139.6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10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78</v>
      </c>
      <c r="C12" s="60">
        <v>43.0</v>
      </c>
      <c r="D12" s="60">
        <v>7.0</v>
      </c>
      <c r="E12" s="60">
        <v>3.0</v>
      </c>
      <c r="F12" s="60">
        <v>1.0</v>
      </c>
      <c r="G12" s="60">
        <v>2.0</v>
      </c>
      <c r="H12" s="71">
        <v>1.0</v>
      </c>
      <c r="I12" s="73">
        <f t="shared" ref="I12:I16" si="3">sum(C12+1.2*D12+1.5*E12+2*F12+2*G12)-H12</f>
        <v>60.9</v>
      </c>
    </row>
    <row r="13">
      <c r="A13" s="76" t="s">
        <v>215</v>
      </c>
      <c r="B13" s="76" t="s">
        <v>187</v>
      </c>
      <c r="C13" s="60">
        <v>10.0</v>
      </c>
      <c r="D13" s="60">
        <v>9.0</v>
      </c>
      <c r="E13" s="60">
        <v>4.0</v>
      </c>
      <c r="F13" s="60">
        <v>1.0</v>
      </c>
      <c r="G13" s="60">
        <v>0.0</v>
      </c>
      <c r="H13" s="71">
        <v>5.0</v>
      </c>
      <c r="I13" s="73">
        <f t="shared" si="3"/>
        <v>23.8</v>
      </c>
    </row>
    <row r="14">
      <c r="A14" s="76" t="s">
        <v>216</v>
      </c>
      <c r="B14" s="76" t="s">
        <v>51</v>
      </c>
      <c r="C14" s="60">
        <v>38.0</v>
      </c>
      <c r="D14" s="60">
        <v>16.0</v>
      </c>
      <c r="E14" s="60">
        <v>2.0</v>
      </c>
      <c r="F14" s="60">
        <v>3.0</v>
      </c>
      <c r="G14" s="60">
        <v>1.0</v>
      </c>
      <c r="H14" s="71">
        <v>5.0</v>
      </c>
      <c r="I14" s="73">
        <f t="shared" si="3"/>
        <v>63.2</v>
      </c>
    </row>
    <row r="15">
      <c r="A15" s="76" t="s">
        <v>216</v>
      </c>
      <c r="B15" s="76" t="s">
        <v>81</v>
      </c>
      <c r="C15" s="60">
        <v>6.0</v>
      </c>
      <c r="D15" s="60">
        <v>13.0</v>
      </c>
      <c r="E15" s="60">
        <v>3.0</v>
      </c>
      <c r="F15" s="60">
        <v>1.0</v>
      </c>
      <c r="G15" s="60">
        <v>3.0</v>
      </c>
      <c r="H15" s="71">
        <v>0.0</v>
      </c>
      <c r="I15" s="73">
        <f t="shared" si="3"/>
        <v>34.1</v>
      </c>
    </row>
    <row r="16">
      <c r="A16" s="76" t="s">
        <v>216</v>
      </c>
      <c r="B16" s="118" t="s">
        <v>91</v>
      </c>
      <c r="C16" s="77">
        <v>11.0</v>
      </c>
      <c r="D16" s="77">
        <v>16.0</v>
      </c>
      <c r="E16" s="77">
        <v>1.0</v>
      </c>
      <c r="F16" s="77">
        <v>0.0</v>
      </c>
      <c r="G16" s="77">
        <v>5.0</v>
      </c>
      <c r="H16" s="78">
        <v>6.0</v>
      </c>
      <c r="I16" s="73">
        <f t="shared" si="3"/>
        <v>35.7</v>
      </c>
    </row>
    <row r="17">
      <c r="A17" s="96"/>
      <c r="B17" s="102" t="s">
        <v>217</v>
      </c>
      <c r="C17" s="103">
        <f>SUM(C12:C16)</f>
        <v>108</v>
      </c>
      <c r="D17" s="103">
        <f>SUM(D12:D16)*1.2</f>
        <v>73.2</v>
      </c>
      <c r="E17" s="103">
        <f>SUM(E12:E16)*1.5</f>
        <v>19.5</v>
      </c>
      <c r="F17" s="103">
        <f t="shared" ref="F17:G17" si="4">SUM(F12:F16)*2</f>
        <v>12</v>
      </c>
      <c r="G17" s="103">
        <f t="shared" si="4"/>
        <v>22</v>
      </c>
      <c r="H17" s="104">
        <f>SUM(H12:H16) *-1</f>
        <v>-17</v>
      </c>
      <c r="I17" s="105">
        <f>SUM(C17:H17)</f>
        <v>217.7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87</v>
      </c>
      <c r="C21" s="60">
        <v>39.0</v>
      </c>
      <c r="D21" s="60">
        <v>9.0</v>
      </c>
      <c r="E21" s="60">
        <v>5.0</v>
      </c>
      <c r="F21" s="60">
        <v>1.0</v>
      </c>
      <c r="G21" s="60">
        <v>1.0</v>
      </c>
      <c r="H21" s="71">
        <v>1.0</v>
      </c>
      <c r="I21" s="73">
        <f t="shared" ref="I21:I25" si="5">sum(C21+1.2*D21+1.5*E21+2*F21+2*G21)-H21</f>
        <v>60.3</v>
      </c>
    </row>
    <row r="22">
      <c r="A22" s="76" t="s">
        <v>215</v>
      </c>
      <c r="B22" s="76" t="s">
        <v>358</v>
      </c>
      <c r="C22" s="60">
        <v>14.0</v>
      </c>
      <c r="D22" s="60">
        <v>10.0</v>
      </c>
      <c r="E22" s="60">
        <v>4.0</v>
      </c>
      <c r="F22" s="60">
        <v>1.0</v>
      </c>
      <c r="G22" s="60">
        <v>0.0</v>
      </c>
      <c r="H22" s="71">
        <v>4.0</v>
      </c>
      <c r="I22" s="73">
        <f t="shared" si="5"/>
        <v>30</v>
      </c>
    </row>
    <row r="23">
      <c r="A23" s="76" t="s">
        <v>216</v>
      </c>
      <c r="B23" s="76" t="s">
        <v>359</v>
      </c>
      <c r="C23" s="60">
        <v>20.0</v>
      </c>
      <c r="D23" s="60">
        <v>4.0</v>
      </c>
      <c r="E23" s="60">
        <v>3.0</v>
      </c>
      <c r="F23" s="60">
        <v>0.0</v>
      </c>
      <c r="G23" s="60">
        <v>0.0</v>
      </c>
      <c r="H23" s="71">
        <v>1.0</v>
      </c>
      <c r="I23" s="73">
        <f t="shared" si="5"/>
        <v>28.3</v>
      </c>
    </row>
    <row r="24">
      <c r="A24" s="76" t="s">
        <v>216</v>
      </c>
      <c r="B24" s="76" t="s">
        <v>54</v>
      </c>
      <c r="C24" s="60">
        <v>6.0</v>
      </c>
      <c r="D24" s="60">
        <v>6.0</v>
      </c>
      <c r="E24" s="60">
        <v>6.0</v>
      </c>
      <c r="F24" s="60">
        <v>1.0</v>
      </c>
      <c r="G24" s="60">
        <v>1.0</v>
      </c>
      <c r="H24" s="71">
        <v>0.0</v>
      </c>
      <c r="I24" s="73">
        <f t="shared" si="5"/>
        <v>26.2</v>
      </c>
    </row>
    <row r="25">
      <c r="A25" s="76" t="s">
        <v>216</v>
      </c>
      <c r="B25" s="76" t="s">
        <v>351</v>
      </c>
      <c r="C25" s="60">
        <v>20.0</v>
      </c>
      <c r="D25" s="60">
        <v>6.0</v>
      </c>
      <c r="E25" s="60">
        <v>1.0</v>
      </c>
      <c r="F25" s="60">
        <v>3.0</v>
      </c>
      <c r="G25" s="60">
        <v>1.0</v>
      </c>
      <c r="H25" s="71">
        <v>2.0</v>
      </c>
      <c r="I25" s="73">
        <f t="shared" si="5"/>
        <v>34.7</v>
      </c>
    </row>
    <row r="26">
      <c r="A26" s="96"/>
      <c r="B26" s="96" t="s">
        <v>217</v>
      </c>
      <c r="C26" s="126">
        <f>SUM(C21:C25)</f>
        <v>99</v>
      </c>
      <c r="D26" s="126">
        <f>SUM(D21:D25)*1.2</f>
        <v>42</v>
      </c>
      <c r="E26" s="126">
        <f>SUM(E21:E25)*1.5</f>
        <v>28.5</v>
      </c>
      <c r="F26" s="126">
        <f t="shared" ref="F26:G26" si="6">SUM(F21:F25)*2</f>
        <v>12</v>
      </c>
      <c r="G26" s="126">
        <f t="shared" si="6"/>
        <v>6</v>
      </c>
      <c r="H26" s="126">
        <f>SUM(H21:H25) *-1</f>
        <v>-8</v>
      </c>
      <c r="I26" s="127">
        <f>SUM(C26:H26)</f>
        <v>179.5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B32" s="76"/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6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96"/>
      <c r="C35" s="126"/>
      <c r="D35" s="126"/>
      <c r="E35" s="126"/>
      <c r="F35" s="126"/>
      <c r="G35" s="126"/>
      <c r="H35" s="126"/>
      <c r="I35" s="127">
        <f>SUM(I30:I34)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79</v>
      </c>
      <c r="C3" s="60">
        <v>28.0</v>
      </c>
      <c r="D3" s="60">
        <v>7.0</v>
      </c>
      <c r="E3" s="60">
        <v>13.0</v>
      </c>
      <c r="F3" s="60">
        <v>1.0</v>
      </c>
      <c r="G3" s="60">
        <v>1.0</v>
      </c>
      <c r="H3" s="71">
        <v>5.0</v>
      </c>
      <c r="I3" s="72">
        <f t="shared" ref="I3:I7" si="1">sum(C3+1.2*D3+1.5*E3+2*F3+2*G3)-H3</f>
        <v>54.9</v>
      </c>
    </row>
    <row r="4">
      <c r="A4" s="76" t="s">
        <v>215</v>
      </c>
      <c r="B4" s="76" t="s">
        <v>360</v>
      </c>
      <c r="C4" s="60">
        <v>14.0</v>
      </c>
      <c r="D4" s="60">
        <v>6.0</v>
      </c>
      <c r="E4" s="60">
        <v>3.0</v>
      </c>
      <c r="F4" s="60">
        <v>0.0</v>
      </c>
      <c r="G4" s="60">
        <v>0.0</v>
      </c>
      <c r="H4" s="71">
        <v>2.0</v>
      </c>
      <c r="I4" s="72">
        <f t="shared" si="1"/>
        <v>23.7</v>
      </c>
    </row>
    <row r="5">
      <c r="A5" s="76" t="s">
        <v>216</v>
      </c>
      <c r="B5" s="76" t="s">
        <v>54</v>
      </c>
      <c r="C5" s="60">
        <v>26.0</v>
      </c>
      <c r="D5" s="60">
        <v>5.0</v>
      </c>
      <c r="E5" s="60">
        <v>2.0</v>
      </c>
      <c r="F5" s="60">
        <v>1.0</v>
      </c>
      <c r="G5" s="60">
        <v>2.0</v>
      </c>
      <c r="H5" s="71">
        <v>1.0</v>
      </c>
      <c r="I5" s="72">
        <f t="shared" si="1"/>
        <v>40</v>
      </c>
    </row>
    <row r="6">
      <c r="A6" s="76" t="s">
        <v>216</v>
      </c>
      <c r="B6" s="76" t="s">
        <v>361</v>
      </c>
      <c r="C6" s="60">
        <v>10.0</v>
      </c>
      <c r="D6" s="60">
        <v>9.0</v>
      </c>
      <c r="E6" s="60">
        <v>3.0</v>
      </c>
      <c r="F6" s="60">
        <v>1.0</v>
      </c>
      <c r="G6" s="60">
        <v>0.0</v>
      </c>
      <c r="H6" s="71">
        <v>0.0</v>
      </c>
      <c r="I6" s="72">
        <f t="shared" si="1"/>
        <v>27.3</v>
      </c>
    </row>
    <row r="7">
      <c r="A7" s="76" t="s">
        <v>216</v>
      </c>
      <c r="B7" s="118" t="s">
        <v>362</v>
      </c>
      <c r="C7" s="77">
        <v>17.0</v>
      </c>
      <c r="D7" s="77">
        <v>11.0</v>
      </c>
      <c r="E7" s="77">
        <v>1.0</v>
      </c>
      <c r="F7" s="77">
        <v>0.0</v>
      </c>
      <c r="G7" s="77">
        <v>0.0</v>
      </c>
      <c r="H7" s="78">
        <v>1.0</v>
      </c>
      <c r="I7" s="72">
        <f t="shared" si="1"/>
        <v>30.7</v>
      </c>
    </row>
    <row r="8">
      <c r="A8" s="96"/>
      <c r="B8" s="102" t="s">
        <v>217</v>
      </c>
      <c r="C8" s="103">
        <f>SUM(C3:C7)</f>
        <v>95</v>
      </c>
      <c r="D8" s="103">
        <f>SUM(D3:D7)*1.2</f>
        <v>45.6</v>
      </c>
      <c r="E8" s="103">
        <f>SUM(E3:E7)*1.5</f>
        <v>33</v>
      </c>
      <c r="F8" s="103">
        <f t="shared" ref="F8:G8" si="2">SUM(F3:F7)*2</f>
        <v>6</v>
      </c>
      <c r="G8" s="103">
        <f t="shared" si="2"/>
        <v>6</v>
      </c>
      <c r="H8" s="104">
        <f>SUM(H3:H7) *-1</f>
        <v>-9</v>
      </c>
      <c r="I8" s="105">
        <f>SUM(C8:H8)</f>
        <v>176.6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363</v>
      </c>
      <c r="C12" s="60">
        <v>6.0</v>
      </c>
      <c r="D12" s="60">
        <v>1.0</v>
      </c>
      <c r="E12" s="60">
        <v>1.0</v>
      </c>
      <c r="F12" s="60">
        <v>1.0</v>
      </c>
      <c r="G12" s="60">
        <v>0.0</v>
      </c>
      <c r="H12" s="71">
        <v>0.0</v>
      </c>
      <c r="I12" s="73">
        <f t="shared" ref="I12:I16" si="3">sum(C12+1.2*D12+1.5*E12+2*F12+2*G12)-H12</f>
        <v>10.7</v>
      </c>
    </row>
    <row r="13">
      <c r="A13" s="76" t="s">
        <v>215</v>
      </c>
      <c r="B13" s="76" t="s">
        <v>44</v>
      </c>
      <c r="C13" s="60">
        <v>21.0</v>
      </c>
      <c r="D13" s="60">
        <v>7.0</v>
      </c>
      <c r="E13" s="60">
        <v>5.0</v>
      </c>
      <c r="F13" s="60">
        <v>2.0</v>
      </c>
      <c r="G13" s="60">
        <v>0.0</v>
      </c>
      <c r="H13" s="71">
        <v>3.0</v>
      </c>
      <c r="I13" s="73">
        <f t="shared" si="3"/>
        <v>37.9</v>
      </c>
    </row>
    <row r="14">
      <c r="A14" s="76" t="s">
        <v>216</v>
      </c>
      <c r="B14" s="76" t="s">
        <v>51</v>
      </c>
      <c r="C14" s="60">
        <v>27.0</v>
      </c>
      <c r="D14" s="60">
        <v>8.0</v>
      </c>
      <c r="E14" s="60">
        <v>4.0</v>
      </c>
      <c r="F14" s="60">
        <v>1.0</v>
      </c>
      <c r="G14" s="60">
        <v>0.0</v>
      </c>
      <c r="H14" s="71">
        <v>3.0</v>
      </c>
      <c r="I14" s="73">
        <f t="shared" si="3"/>
        <v>41.6</v>
      </c>
    </row>
    <row r="15">
      <c r="A15" s="76" t="s">
        <v>216</v>
      </c>
      <c r="B15" s="76" t="s">
        <v>91</v>
      </c>
      <c r="C15" s="60">
        <v>3.0</v>
      </c>
      <c r="D15" s="60">
        <v>6.0</v>
      </c>
      <c r="E15" s="60">
        <v>0.0</v>
      </c>
      <c r="F15" s="60">
        <v>1.0</v>
      </c>
      <c r="G15" s="60">
        <v>5.0</v>
      </c>
      <c r="H15" s="71">
        <v>0.0</v>
      </c>
      <c r="I15" s="73">
        <f t="shared" si="3"/>
        <v>22.2</v>
      </c>
    </row>
    <row r="16">
      <c r="A16" s="76" t="s">
        <v>216</v>
      </c>
      <c r="B16" s="118" t="s">
        <v>364</v>
      </c>
      <c r="C16" s="77">
        <v>6.0</v>
      </c>
      <c r="D16" s="77">
        <v>5.0</v>
      </c>
      <c r="E16" s="77">
        <v>2.0</v>
      </c>
      <c r="F16" s="77">
        <v>0.0</v>
      </c>
      <c r="G16" s="77">
        <v>1.0</v>
      </c>
      <c r="H16" s="78">
        <v>1.0</v>
      </c>
      <c r="I16" s="73">
        <f t="shared" si="3"/>
        <v>16</v>
      </c>
    </row>
    <row r="17">
      <c r="A17" s="96"/>
      <c r="B17" s="102" t="s">
        <v>217</v>
      </c>
      <c r="C17" s="103">
        <f>SUM(C12:C16)</f>
        <v>63</v>
      </c>
      <c r="D17" s="103">
        <f>SUM(D12:D16)*1.2</f>
        <v>32.4</v>
      </c>
      <c r="E17" s="103">
        <f>SUM(E12:E16)*1.5</f>
        <v>18</v>
      </c>
      <c r="F17" s="103">
        <f t="shared" ref="F17:G17" si="4">SUM(F12:F16)*2</f>
        <v>10</v>
      </c>
      <c r="G17" s="103">
        <f t="shared" si="4"/>
        <v>12</v>
      </c>
      <c r="H17" s="104">
        <f>SUM(H12:H16) *-1</f>
        <v>-7</v>
      </c>
      <c r="I17" s="105">
        <f>SUM(C17:H17)</f>
        <v>128.4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11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90</v>
      </c>
      <c r="C21" s="60">
        <v>16.0</v>
      </c>
      <c r="D21" s="60">
        <v>7.0</v>
      </c>
      <c r="E21" s="60">
        <v>13.0</v>
      </c>
      <c r="F21" s="60">
        <v>2.0</v>
      </c>
      <c r="G21" s="60">
        <v>1.0</v>
      </c>
      <c r="H21" s="71">
        <v>1.0</v>
      </c>
      <c r="I21" s="73">
        <f t="shared" ref="I21:I25" si="5">sum(C21+1.2*D21+1.5*E21+2*F21+2*G21)-H21</f>
        <v>48.9</v>
      </c>
    </row>
    <row r="22">
      <c r="A22" s="76" t="s">
        <v>215</v>
      </c>
      <c r="B22" s="76" t="s">
        <v>87</v>
      </c>
      <c r="C22" s="60">
        <v>50.0</v>
      </c>
      <c r="D22" s="60">
        <v>4.0</v>
      </c>
      <c r="E22" s="60">
        <v>4.0</v>
      </c>
      <c r="F22" s="60">
        <v>0.0</v>
      </c>
      <c r="G22" s="60">
        <v>1.0</v>
      </c>
      <c r="H22" s="71">
        <v>4.0</v>
      </c>
      <c r="I22" s="73">
        <f t="shared" si="5"/>
        <v>58.8</v>
      </c>
    </row>
    <row r="23">
      <c r="A23" s="76" t="s">
        <v>216</v>
      </c>
      <c r="B23" s="76" t="s">
        <v>335</v>
      </c>
      <c r="C23" s="60">
        <v>14.0</v>
      </c>
      <c r="D23" s="60">
        <v>5.0</v>
      </c>
      <c r="E23" s="60">
        <v>2.0</v>
      </c>
      <c r="F23" s="60">
        <v>2.0</v>
      </c>
      <c r="G23" s="60">
        <v>0.0</v>
      </c>
      <c r="H23" s="71">
        <v>1.0</v>
      </c>
      <c r="I23" s="73">
        <f t="shared" si="5"/>
        <v>26</v>
      </c>
    </row>
    <row r="24">
      <c r="A24" s="76" t="s">
        <v>216</v>
      </c>
      <c r="B24" s="76" t="s">
        <v>365</v>
      </c>
      <c r="C24" s="60">
        <v>11.0</v>
      </c>
      <c r="D24" s="60">
        <v>9.0</v>
      </c>
      <c r="E24" s="60">
        <v>2.0</v>
      </c>
      <c r="F24" s="60">
        <v>1.0</v>
      </c>
      <c r="G24" s="60">
        <v>1.0</v>
      </c>
      <c r="H24" s="71">
        <v>0.0</v>
      </c>
      <c r="I24" s="73">
        <f t="shared" si="5"/>
        <v>28.8</v>
      </c>
    </row>
    <row r="25">
      <c r="A25" s="76" t="s">
        <v>216</v>
      </c>
      <c r="B25" s="76" t="s">
        <v>105</v>
      </c>
      <c r="C25" s="60">
        <v>0.0</v>
      </c>
      <c r="D25" s="60">
        <v>0.0</v>
      </c>
      <c r="E25" s="60">
        <v>0.0</v>
      </c>
      <c r="F25" s="60">
        <v>0.0</v>
      </c>
      <c r="G25" s="60">
        <v>0.0</v>
      </c>
      <c r="H25" s="71">
        <v>0.0</v>
      </c>
      <c r="I25" s="73">
        <f t="shared" si="5"/>
        <v>0</v>
      </c>
    </row>
    <row r="26">
      <c r="A26" s="96"/>
      <c r="B26" s="96" t="s">
        <v>217</v>
      </c>
      <c r="C26" s="126">
        <f>SUM(C21:C25)</f>
        <v>91</v>
      </c>
      <c r="D26" s="126">
        <f>SUM(D21:D25)*1.2</f>
        <v>30</v>
      </c>
      <c r="E26" s="126">
        <f>SUM(E21:E25)*1.5</f>
        <v>31.5</v>
      </c>
      <c r="F26" s="126">
        <f t="shared" ref="F26:G26" si="6">SUM(F21:F25)*2</f>
        <v>10</v>
      </c>
      <c r="G26" s="126">
        <f t="shared" si="6"/>
        <v>6</v>
      </c>
      <c r="H26" s="126">
        <f>SUM(H21:H25) *-1</f>
        <v>-6</v>
      </c>
      <c r="I26" s="127">
        <f>SUM(C26:H26)</f>
        <v>162.5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10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337</v>
      </c>
      <c r="C30" s="60">
        <v>30.0</v>
      </c>
      <c r="D30" s="60">
        <v>6.0</v>
      </c>
      <c r="E30" s="60">
        <v>4.0</v>
      </c>
      <c r="F30" s="60">
        <v>2.0</v>
      </c>
      <c r="G30" s="60">
        <v>2.0</v>
      </c>
      <c r="H30" s="71">
        <v>1.0</v>
      </c>
      <c r="I30" s="73">
        <f t="shared" ref="I30:I34" si="7">sum(C30+1.2*D30+1.5*E30+2*F30+2*G30)-H30</f>
        <v>50.2</v>
      </c>
    </row>
    <row r="31">
      <c r="A31" s="76" t="s">
        <v>215</v>
      </c>
      <c r="B31" s="76" t="s">
        <v>187</v>
      </c>
      <c r="C31" s="60">
        <v>22.0</v>
      </c>
      <c r="D31" s="60">
        <v>6.0</v>
      </c>
      <c r="E31" s="60">
        <v>4.0</v>
      </c>
      <c r="F31" s="60">
        <v>1.0</v>
      </c>
      <c r="G31" s="60">
        <v>0.0</v>
      </c>
      <c r="H31" s="71">
        <v>4.0</v>
      </c>
      <c r="I31" s="73">
        <f t="shared" si="7"/>
        <v>33.2</v>
      </c>
    </row>
    <row r="32">
      <c r="A32" s="76" t="s">
        <v>216</v>
      </c>
      <c r="B32" s="76" t="s">
        <v>48</v>
      </c>
      <c r="C32" s="60">
        <v>18.0</v>
      </c>
      <c r="D32" s="60">
        <v>11.0</v>
      </c>
      <c r="E32" s="60">
        <v>5.0</v>
      </c>
      <c r="F32" s="60">
        <v>1.0</v>
      </c>
      <c r="G32" s="60">
        <v>1.0</v>
      </c>
      <c r="H32" s="71">
        <v>2.0</v>
      </c>
      <c r="I32" s="73">
        <f t="shared" si="7"/>
        <v>40.7</v>
      </c>
    </row>
    <row r="33">
      <c r="A33" s="76" t="s">
        <v>216</v>
      </c>
      <c r="B33" s="76" t="s">
        <v>366</v>
      </c>
      <c r="C33" s="60">
        <v>10.0</v>
      </c>
      <c r="D33" s="60">
        <v>8.0</v>
      </c>
      <c r="E33" s="60">
        <v>1.0</v>
      </c>
      <c r="F33" s="60">
        <v>1.0</v>
      </c>
      <c r="G33" s="60">
        <v>0.0</v>
      </c>
      <c r="H33" s="71">
        <v>2.0</v>
      </c>
      <c r="I33" s="73">
        <f t="shared" si="7"/>
        <v>21.1</v>
      </c>
    </row>
    <row r="34">
      <c r="A34" s="76" t="s">
        <v>216</v>
      </c>
      <c r="B34" s="76" t="s">
        <v>367</v>
      </c>
      <c r="C34" s="60">
        <v>4.0</v>
      </c>
      <c r="D34" s="60">
        <v>1.0</v>
      </c>
      <c r="E34" s="60">
        <v>0.0</v>
      </c>
      <c r="F34" s="60">
        <v>0.0</v>
      </c>
      <c r="G34" s="60">
        <v>0.0</v>
      </c>
      <c r="H34" s="71">
        <v>0.0</v>
      </c>
      <c r="I34" s="73">
        <f t="shared" si="7"/>
        <v>5.2</v>
      </c>
    </row>
    <row r="35">
      <c r="A35" s="96"/>
      <c r="B35" s="96"/>
      <c r="C35" s="126"/>
      <c r="D35" s="126"/>
      <c r="E35" s="126"/>
      <c r="F35" s="126"/>
      <c r="G35" s="126"/>
      <c r="H35" s="126"/>
      <c r="I35" s="127">
        <f>SUM(I30:I34)</f>
        <v>150.4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8" t="s">
        <v>11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368</v>
      </c>
      <c r="C3" s="60">
        <v>26.0</v>
      </c>
      <c r="D3" s="60">
        <v>4.0</v>
      </c>
      <c r="E3" s="60">
        <v>11.0</v>
      </c>
      <c r="F3" s="60">
        <v>3.0</v>
      </c>
      <c r="G3" s="60">
        <v>1.0</v>
      </c>
      <c r="H3" s="71">
        <v>5.0</v>
      </c>
      <c r="I3" s="72">
        <f t="shared" ref="I3:I7" si="1">sum(C3+1.2*D3+1.5*E3+2*F3+2*G3)-H3</f>
        <v>50.3</v>
      </c>
    </row>
    <row r="4">
      <c r="A4" s="76" t="s">
        <v>215</v>
      </c>
      <c r="B4" s="76" t="s">
        <v>43</v>
      </c>
      <c r="C4" s="60">
        <v>15.0</v>
      </c>
      <c r="D4" s="60">
        <v>5.0</v>
      </c>
      <c r="E4" s="60">
        <v>2.0</v>
      </c>
      <c r="F4" s="60">
        <v>1.0</v>
      </c>
      <c r="G4" s="60">
        <v>0.0</v>
      </c>
      <c r="H4" s="71">
        <v>2.0</v>
      </c>
      <c r="I4" s="72">
        <f t="shared" si="1"/>
        <v>24</v>
      </c>
    </row>
    <row r="5">
      <c r="A5" s="76" t="s">
        <v>216</v>
      </c>
      <c r="B5" s="76" t="s">
        <v>71</v>
      </c>
      <c r="C5" s="60">
        <v>22.0</v>
      </c>
      <c r="D5" s="60">
        <v>5.0</v>
      </c>
      <c r="E5" s="60">
        <v>6.0</v>
      </c>
      <c r="F5" s="60">
        <v>1.0</v>
      </c>
      <c r="G5" s="60">
        <v>0.0</v>
      </c>
      <c r="H5" s="71">
        <v>3.0</v>
      </c>
      <c r="I5" s="72">
        <f t="shared" si="1"/>
        <v>36</v>
      </c>
    </row>
    <row r="6">
      <c r="A6" s="76" t="s">
        <v>216</v>
      </c>
      <c r="B6" s="76" t="s">
        <v>116</v>
      </c>
      <c r="C6" s="60">
        <v>6.0</v>
      </c>
      <c r="D6" s="60">
        <v>4.0</v>
      </c>
      <c r="E6" s="60">
        <v>0.0</v>
      </c>
      <c r="F6" s="60">
        <v>1.0</v>
      </c>
      <c r="G6" s="60">
        <v>1.0</v>
      </c>
      <c r="H6" s="71">
        <v>0.0</v>
      </c>
      <c r="I6" s="72">
        <f t="shared" si="1"/>
        <v>14.8</v>
      </c>
    </row>
    <row r="7">
      <c r="A7" s="76" t="s">
        <v>216</v>
      </c>
      <c r="B7" s="118" t="s">
        <v>190</v>
      </c>
      <c r="C7" s="77">
        <v>6.0</v>
      </c>
      <c r="D7" s="77">
        <v>4.0</v>
      </c>
      <c r="E7" s="77">
        <v>0.0</v>
      </c>
      <c r="F7" s="77">
        <v>0.0</v>
      </c>
      <c r="G7" s="77">
        <v>1.0</v>
      </c>
      <c r="H7" s="78">
        <v>1.0</v>
      </c>
      <c r="I7" s="72">
        <f t="shared" si="1"/>
        <v>11.8</v>
      </c>
    </row>
    <row r="8">
      <c r="A8" s="96"/>
      <c r="B8" s="102" t="s">
        <v>217</v>
      </c>
      <c r="C8" s="103">
        <f>SUM(C3:C7)</f>
        <v>75</v>
      </c>
      <c r="D8" s="103">
        <f>SUM(D3:D7)*1.2</f>
        <v>26.4</v>
      </c>
      <c r="E8" s="103">
        <f>SUM(E3:E7)*1.5</f>
        <v>28.5</v>
      </c>
      <c r="F8" s="103">
        <f t="shared" ref="F8:G8" si="2">SUM(F3:F7)*2</f>
        <v>12</v>
      </c>
      <c r="G8" s="103">
        <f t="shared" si="2"/>
        <v>6</v>
      </c>
      <c r="H8" s="104">
        <f>SUM(H3:H7) *-1</f>
        <v>-11</v>
      </c>
      <c r="I8" s="105">
        <f>SUM(C8:H8)</f>
        <v>136.9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115</v>
      </c>
      <c r="C12" s="60">
        <v>10.0</v>
      </c>
      <c r="D12" s="60">
        <v>5.0</v>
      </c>
      <c r="E12" s="60">
        <v>6.0</v>
      </c>
      <c r="F12" s="60">
        <v>3.0</v>
      </c>
      <c r="G12" s="60">
        <v>0.0</v>
      </c>
      <c r="H12" s="71">
        <v>2.0</v>
      </c>
      <c r="I12" s="73">
        <f t="shared" ref="I12:I16" si="3">sum(C12+1.2*D12+1.5*E12+2*F12+2*G12)-H12</f>
        <v>29</v>
      </c>
    </row>
    <row r="13">
      <c r="A13" s="76" t="s">
        <v>215</v>
      </c>
      <c r="B13" s="76" t="s">
        <v>369</v>
      </c>
      <c r="C13" s="60">
        <v>11.0</v>
      </c>
      <c r="D13" s="60">
        <v>6.0</v>
      </c>
      <c r="E13" s="60">
        <v>8.0</v>
      </c>
      <c r="F13" s="60">
        <v>0.0</v>
      </c>
      <c r="G13" s="60">
        <v>2.0</v>
      </c>
      <c r="H13" s="71">
        <v>2.0</v>
      </c>
      <c r="I13" s="73">
        <f t="shared" si="3"/>
        <v>32.2</v>
      </c>
    </row>
    <row r="14">
      <c r="A14" s="76" t="s">
        <v>216</v>
      </c>
      <c r="B14" s="76" t="s">
        <v>370</v>
      </c>
      <c r="C14" s="60">
        <v>16.0</v>
      </c>
      <c r="D14" s="60">
        <v>14.0</v>
      </c>
      <c r="E14" s="60">
        <v>1.0</v>
      </c>
      <c r="F14" s="60">
        <v>0.0</v>
      </c>
      <c r="G14" s="60">
        <v>5.0</v>
      </c>
      <c r="H14" s="71">
        <v>1.0</v>
      </c>
      <c r="I14" s="73">
        <f t="shared" si="3"/>
        <v>43.3</v>
      </c>
    </row>
    <row r="15">
      <c r="A15" s="76" t="s">
        <v>216</v>
      </c>
      <c r="B15" s="76" t="s">
        <v>371</v>
      </c>
      <c r="C15" s="60">
        <v>7.0</v>
      </c>
      <c r="D15" s="60">
        <v>11.0</v>
      </c>
      <c r="E15" s="60">
        <v>4.0</v>
      </c>
      <c r="F15" s="60">
        <v>1.0</v>
      </c>
      <c r="G15" s="60">
        <v>1.0</v>
      </c>
      <c r="H15" s="71">
        <v>5.0</v>
      </c>
      <c r="I15" s="73">
        <f t="shared" si="3"/>
        <v>25.2</v>
      </c>
    </row>
    <row r="16">
      <c r="A16" s="76" t="s">
        <v>216</v>
      </c>
      <c r="B16" s="118" t="s">
        <v>86</v>
      </c>
      <c r="C16" s="77">
        <v>13.0</v>
      </c>
      <c r="D16" s="77">
        <v>7.0</v>
      </c>
      <c r="E16" s="77">
        <v>0.0</v>
      </c>
      <c r="F16" s="77">
        <v>2.0</v>
      </c>
      <c r="G16" s="77">
        <v>2.0</v>
      </c>
      <c r="H16" s="78">
        <v>0.0</v>
      </c>
      <c r="I16" s="73">
        <f t="shared" si="3"/>
        <v>29.4</v>
      </c>
    </row>
    <row r="17">
      <c r="A17" s="96"/>
      <c r="B17" s="102" t="s">
        <v>217</v>
      </c>
      <c r="C17" s="103">
        <f>SUM(C12:C16)</f>
        <v>57</v>
      </c>
      <c r="D17" s="103">
        <f>SUM(D12:D16)*1.2</f>
        <v>51.6</v>
      </c>
      <c r="E17" s="103">
        <f>SUM(E12:E16)*1.5</f>
        <v>28.5</v>
      </c>
      <c r="F17" s="103">
        <f t="shared" ref="F17:G17" si="4">SUM(F12:F16)*2</f>
        <v>12</v>
      </c>
      <c r="G17" s="103">
        <f t="shared" si="4"/>
        <v>20</v>
      </c>
      <c r="H17" s="104">
        <f>SUM(H12:H16) *-1</f>
        <v>-10</v>
      </c>
      <c r="I17" s="105">
        <f>SUM(C17:H17)</f>
        <v>159.1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74</v>
      </c>
      <c r="C21" s="60">
        <v>29.0</v>
      </c>
      <c r="D21" s="60">
        <v>4.0</v>
      </c>
      <c r="E21" s="60">
        <v>5.0</v>
      </c>
      <c r="F21" s="60">
        <v>2.0</v>
      </c>
      <c r="G21" s="60">
        <v>1.0</v>
      </c>
      <c r="H21" s="71">
        <v>5.0</v>
      </c>
      <c r="I21" s="73">
        <f t="shared" ref="I21:I25" si="5">sum(C21+1.2*D21+1.5*E21+2*F21+2*G21)-H21</f>
        <v>42.3</v>
      </c>
    </row>
    <row r="22">
      <c r="A22" s="76" t="s">
        <v>215</v>
      </c>
      <c r="B22" s="76" t="s">
        <v>372</v>
      </c>
      <c r="C22" s="60">
        <v>28.0</v>
      </c>
      <c r="D22" s="60">
        <v>6.0</v>
      </c>
      <c r="E22" s="60">
        <v>4.0</v>
      </c>
      <c r="F22" s="60">
        <v>2.0</v>
      </c>
      <c r="G22" s="60">
        <v>2.0</v>
      </c>
      <c r="H22" s="71">
        <v>3.0</v>
      </c>
      <c r="I22" s="73">
        <f t="shared" si="5"/>
        <v>46.2</v>
      </c>
    </row>
    <row r="23">
      <c r="A23" s="76" t="s">
        <v>216</v>
      </c>
      <c r="B23" s="76" t="s">
        <v>373</v>
      </c>
      <c r="C23" s="60">
        <v>14.0</v>
      </c>
      <c r="D23" s="60">
        <v>4.0</v>
      </c>
      <c r="E23" s="60">
        <v>1.0</v>
      </c>
      <c r="F23" s="60">
        <v>1.0</v>
      </c>
      <c r="G23" s="60">
        <v>0.0</v>
      </c>
      <c r="H23" s="71">
        <v>3.0</v>
      </c>
      <c r="I23" s="73">
        <f t="shared" si="5"/>
        <v>19.3</v>
      </c>
    </row>
    <row r="24">
      <c r="A24" s="76" t="s">
        <v>216</v>
      </c>
      <c r="B24" s="76" t="s">
        <v>126</v>
      </c>
      <c r="C24" s="60">
        <v>4.0</v>
      </c>
      <c r="D24" s="60">
        <v>4.0</v>
      </c>
      <c r="E24" s="60">
        <v>10.0</v>
      </c>
      <c r="F24" s="60">
        <v>1.0</v>
      </c>
      <c r="G24" s="60">
        <v>2.0</v>
      </c>
      <c r="H24" s="71">
        <v>1.0</v>
      </c>
      <c r="I24" s="73">
        <f t="shared" si="5"/>
        <v>28.8</v>
      </c>
    </row>
    <row r="25">
      <c r="A25" s="76" t="s">
        <v>216</v>
      </c>
      <c r="B25" s="76" t="s">
        <v>374</v>
      </c>
      <c r="C25" s="60">
        <v>7.0</v>
      </c>
      <c r="D25" s="60">
        <v>13.0</v>
      </c>
      <c r="E25" s="60">
        <v>1.0</v>
      </c>
      <c r="F25" s="60">
        <v>2.0</v>
      </c>
      <c r="G25" s="60">
        <v>0.0</v>
      </c>
      <c r="H25" s="71">
        <v>2.0</v>
      </c>
      <c r="I25" s="73">
        <f t="shared" si="5"/>
        <v>26.1</v>
      </c>
    </row>
    <row r="26">
      <c r="A26" s="96"/>
      <c r="B26" s="96" t="s">
        <v>217</v>
      </c>
      <c r="C26" s="126">
        <f>SUM(C21:C25)</f>
        <v>82</v>
      </c>
      <c r="D26" s="126">
        <f>SUM(D21:D25)*1.2</f>
        <v>37.2</v>
      </c>
      <c r="E26" s="126">
        <f>SUM(E21:E25)*1.5</f>
        <v>31.5</v>
      </c>
      <c r="F26" s="126">
        <f t="shared" ref="F26:G26" si="6">SUM(F21:F25)*2</f>
        <v>16</v>
      </c>
      <c r="G26" s="126">
        <f t="shared" si="6"/>
        <v>10</v>
      </c>
      <c r="H26" s="126">
        <f>SUM(H21:H25) *-1</f>
        <v>-14</v>
      </c>
      <c r="I26" s="127">
        <f>SUM(C26:H26)</f>
        <v>162.7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B32" s="76"/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6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96"/>
      <c r="C35" s="126"/>
      <c r="D35" s="126"/>
      <c r="E35" s="126"/>
      <c r="F35" s="126"/>
      <c r="G35" s="126"/>
      <c r="H35" s="126"/>
      <c r="I35" s="127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78</v>
      </c>
      <c r="C3" s="60">
        <v>36.0</v>
      </c>
      <c r="D3" s="60">
        <v>7.0</v>
      </c>
      <c r="E3" s="60">
        <v>5.0</v>
      </c>
      <c r="F3" s="60">
        <v>3.0</v>
      </c>
      <c r="G3" s="60">
        <v>1.0</v>
      </c>
      <c r="H3" s="71">
        <v>3.0</v>
      </c>
      <c r="I3" s="72">
        <f t="shared" ref="I3:I7" si="1">sum(C3+1.2*D3+1.5*E3+2*F3+2*G3)-H3</f>
        <v>56.9</v>
      </c>
    </row>
    <row r="4">
      <c r="A4" s="76" t="s">
        <v>215</v>
      </c>
      <c r="B4" s="76" t="s">
        <v>72</v>
      </c>
      <c r="C4" s="60">
        <v>18.0</v>
      </c>
      <c r="D4" s="60">
        <v>6.0</v>
      </c>
      <c r="E4" s="60">
        <v>9.0</v>
      </c>
      <c r="F4" s="60">
        <v>2.0</v>
      </c>
      <c r="G4" s="60">
        <v>1.0</v>
      </c>
      <c r="H4" s="71">
        <v>3.0</v>
      </c>
      <c r="I4" s="72">
        <f t="shared" si="1"/>
        <v>41.7</v>
      </c>
    </row>
    <row r="5">
      <c r="A5" s="76" t="s">
        <v>216</v>
      </c>
      <c r="B5" s="76" t="s">
        <v>69</v>
      </c>
      <c r="C5" s="60">
        <v>29.0</v>
      </c>
      <c r="D5" s="60">
        <v>10.0</v>
      </c>
      <c r="E5" s="60">
        <v>5.0</v>
      </c>
      <c r="F5" s="60">
        <v>2.0</v>
      </c>
      <c r="G5" s="60">
        <v>0.0</v>
      </c>
      <c r="H5" s="71">
        <v>4.0</v>
      </c>
      <c r="I5" s="72">
        <f t="shared" si="1"/>
        <v>48.5</v>
      </c>
    </row>
    <row r="6">
      <c r="A6" s="76" t="s">
        <v>216</v>
      </c>
      <c r="B6" s="76" t="s">
        <v>91</v>
      </c>
      <c r="C6" s="60">
        <v>10.0</v>
      </c>
      <c r="D6" s="60">
        <v>10.0</v>
      </c>
      <c r="E6" s="60">
        <v>1.0</v>
      </c>
      <c r="F6" s="60">
        <v>0.0</v>
      </c>
      <c r="G6" s="60">
        <v>1.0</v>
      </c>
      <c r="H6" s="71">
        <v>3.0</v>
      </c>
      <c r="I6" s="72">
        <f t="shared" si="1"/>
        <v>22.5</v>
      </c>
    </row>
    <row r="7">
      <c r="A7" s="76" t="s">
        <v>216</v>
      </c>
      <c r="B7" s="118" t="s">
        <v>85</v>
      </c>
      <c r="C7" s="77">
        <v>25.0</v>
      </c>
      <c r="D7" s="77">
        <v>9.0</v>
      </c>
      <c r="E7" s="77">
        <v>2.0</v>
      </c>
      <c r="F7" s="77">
        <v>1.0</v>
      </c>
      <c r="G7" s="77">
        <v>1.0</v>
      </c>
      <c r="H7" s="78">
        <v>0.0</v>
      </c>
      <c r="I7" s="72">
        <f t="shared" si="1"/>
        <v>42.8</v>
      </c>
    </row>
    <row r="8">
      <c r="A8" s="96"/>
      <c r="B8" s="102" t="s">
        <v>217</v>
      </c>
      <c r="C8" s="103">
        <f>SUM(C3:C7)</f>
        <v>118</v>
      </c>
      <c r="D8" s="103">
        <f>SUM(D3:D7)*1.2</f>
        <v>50.4</v>
      </c>
      <c r="E8" s="103">
        <f>SUM(E3:E7)*1.5</f>
        <v>33</v>
      </c>
      <c r="F8" s="103">
        <f t="shared" ref="F8:G8" si="2">SUM(F3:F7)*2</f>
        <v>16</v>
      </c>
      <c r="G8" s="103">
        <f t="shared" si="2"/>
        <v>8</v>
      </c>
      <c r="H8" s="104">
        <f>SUM(H3:H7) *-1</f>
        <v>-13</v>
      </c>
      <c r="I8" s="105">
        <f>SUM(C8:H8)</f>
        <v>212.4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87</v>
      </c>
      <c r="C12" s="60">
        <v>22.0</v>
      </c>
      <c r="D12" s="60">
        <v>7.0</v>
      </c>
      <c r="E12" s="60">
        <v>5.0</v>
      </c>
      <c r="F12" s="60">
        <v>2.0</v>
      </c>
      <c r="G12" s="60">
        <v>0.0</v>
      </c>
      <c r="H12" s="71">
        <v>6.0</v>
      </c>
      <c r="I12" s="73">
        <f t="shared" ref="I12:I16" si="3">sum(C12+1.2*D12+1.5*E12+2*F12+2*G12)-H12</f>
        <v>35.9</v>
      </c>
    </row>
    <row r="13">
      <c r="A13" s="76" t="s">
        <v>215</v>
      </c>
      <c r="B13" s="76" t="s">
        <v>375</v>
      </c>
      <c r="C13" s="60">
        <v>32.0</v>
      </c>
      <c r="D13" s="60">
        <v>6.0</v>
      </c>
      <c r="E13" s="60">
        <v>9.0</v>
      </c>
      <c r="F13" s="60">
        <v>1.0</v>
      </c>
      <c r="G13" s="60">
        <v>2.0</v>
      </c>
      <c r="H13" s="71">
        <v>4.0</v>
      </c>
      <c r="I13" s="73">
        <f t="shared" si="3"/>
        <v>54.7</v>
      </c>
    </row>
    <row r="14">
      <c r="A14" s="76" t="s">
        <v>216</v>
      </c>
      <c r="B14" s="76" t="s">
        <v>81</v>
      </c>
      <c r="C14" s="60">
        <v>18.0</v>
      </c>
      <c r="D14" s="60">
        <v>10.0</v>
      </c>
      <c r="E14" s="60">
        <v>3.0</v>
      </c>
      <c r="F14" s="60">
        <v>0.0</v>
      </c>
      <c r="G14" s="60">
        <v>0.0</v>
      </c>
      <c r="H14" s="71">
        <v>1.0</v>
      </c>
      <c r="I14" s="73">
        <f t="shared" si="3"/>
        <v>33.5</v>
      </c>
    </row>
    <row r="15">
      <c r="A15" s="76" t="s">
        <v>216</v>
      </c>
      <c r="B15" s="76" t="s">
        <v>134</v>
      </c>
      <c r="C15" s="60">
        <v>8.0</v>
      </c>
      <c r="D15" s="60">
        <v>4.0</v>
      </c>
      <c r="E15" s="60">
        <v>3.0</v>
      </c>
      <c r="F15" s="60">
        <v>0.0</v>
      </c>
      <c r="G15" s="60">
        <v>0.0</v>
      </c>
      <c r="H15" s="71">
        <v>0.0</v>
      </c>
      <c r="I15" s="73">
        <f t="shared" si="3"/>
        <v>17.3</v>
      </c>
    </row>
    <row r="16">
      <c r="A16" s="76" t="s">
        <v>216</v>
      </c>
      <c r="B16" s="118" t="s">
        <v>105</v>
      </c>
      <c r="C16" s="77">
        <v>6.0</v>
      </c>
      <c r="D16" s="77">
        <v>5.0</v>
      </c>
      <c r="E16" s="77">
        <v>1.0</v>
      </c>
      <c r="F16" s="77">
        <v>0.0</v>
      </c>
      <c r="G16" s="77">
        <v>2.0</v>
      </c>
      <c r="H16" s="78">
        <v>0.0</v>
      </c>
      <c r="I16" s="73">
        <f t="shared" si="3"/>
        <v>17.5</v>
      </c>
    </row>
    <row r="17">
      <c r="A17" s="96"/>
      <c r="B17" s="102" t="s">
        <v>217</v>
      </c>
      <c r="C17" s="103">
        <f>SUM(C12:C16)</f>
        <v>86</v>
      </c>
      <c r="D17" s="103">
        <f>SUM(D12:D16)*1.2</f>
        <v>38.4</v>
      </c>
      <c r="E17" s="103">
        <f>SUM(E12:E16)*1.5</f>
        <v>31.5</v>
      </c>
      <c r="F17" s="103">
        <f t="shared" ref="F17:G17" si="4">SUM(F12:F16)*2</f>
        <v>6</v>
      </c>
      <c r="G17" s="103">
        <f t="shared" si="4"/>
        <v>8</v>
      </c>
      <c r="H17" s="104">
        <f>SUM(H12:H16) *-1</f>
        <v>-11</v>
      </c>
      <c r="I17" s="105">
        <f>SUM(C17:H17)</f>
        <v>158.9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13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98</v>
      </c>
      <c r="C21" s="60">
        <v>15.0</v>
      </c>
      <c r="D21" s="60">
        <v>1.0</v>
      </c>
      <c r="E21" s="60">
        <v>3.0</v>
      </c>
      <c r="F21" s="60">
        <v>3.0</v>
      </c>
      <c r="G21" s="60">
        <v>0.0</v>
      </c>
      <c r="H21" s="71">
        <v>3.0</v>
      </c>
      <c r="I21" s="73">
        <f t="shared" ref="I21:I25" si="5">sum(C21+1.2*D21+1.5*E21+2*F21+2*G21)-H21</f>
        <v>23.7</v>
      </c>
    </row>
    <row r="22">
      <c r="A22" s="76" t="s">
        <v>215</v>
      </c>
      <c r="B22" s="76" t="s">
        <v>84</v>
      </c>
      <c r="C22" s="60">
        <v>21.0</v>
      </c>
      <c r="D22" s="60">
        <v>4.0</v>
      </c>
      <c r="E22" s="60">
        <v>6.0</v>
      </c>
      <c r="F22" s="60">
        <v>2.0</v>
      </c>
      <c r="G22" s="60">
        <v>0.0</v>
      </c>
      <c r="H22" s="71">
        <v>3.0</v>
      </c>
      <c r="I22" s="73">
        <f t="shared" si="5"/>
        <v>35.8</v>
      </c>
    </row>
    <row r="23">
      <c r="A23" s="76" t="s">
        <v>216</v>
      </c>
      <c r="B23" s="76" t="s">
        <v>66</v>
      </c>
      <c r="C23" s="60">
        <v>20.0</v>
      </c>
      <c r="D23" s="60">
        <v>11.0</v>
      </c>
      <c r="E23" s="60">
        <v>12.0</v>
      </c>
      <c r="F23" s="60">
        <v>1.0</v>
      </c>
      <c r="G23" s="60">
        <v>0.0</v>
      </c>
      <c r="H23" s="71">
        <v>4.0</v>
      </c>
      <c r="I23" s="73">
        <f t="shared" si="5"/>
        <v>49.2</v>
      </c>
    </row>
    <row r="24">
      <c r="A24" s="76" t="s">
        <v>216</v>
      </c>
      <c r="B24" s="76" t="s">
        <v>88</v>
      </c>
      <c r="C24" s="60">
        <v>11.0</v>
      </c>
      <c r="D24" s="60">
        <v>8.0</v>
      </c>
      <c r="E24" s="60">
        <v>3.0</v>
      </c>
      <c r="F24" s="60">
        <v>1.0</v>
      </c>
      <c r="G24" s="60">
        <v>0.0</v>
      </c>
      <c r="H24" s="71">
        <v>2.0</v>
      </c>
      <c r="I24" s="73">
        <f t="shared" si="5"/>
        <v>25.1</v>
      </c>
    </row>
    <row r="25">
      <c r="A25" s="76" t="s">
        <v>216</v>
      </c>
      <c r="B25" s="76" t="s">
        <v>70</v>
      </c>
      <c r="C25" s="60">
        <v>27.0</v>
      </c>
      <c r="D25" s="60">
        <v>7.0</v>
      </c>
      <c r="E25" s="60">
        <v>1.0</v>
      </c>
      <c r="F25" s="60">
        <v>1.0</v>
      </c>
      <c r="G25" s="60">
        <v>1.0</v>
      </c>
      <c r="H25" s="71">
        <v>4.0</v>
      </c>
      <c r="I25" s="73">
        <f t="shared" si="5"/>
        <v>36.9</v>
      </c>
    </row>
    <row r="26">
      <c r="A26" s="96"/>
      <c r="B26" s="96" t="s">
        <v>217</v>
      </c>
      <c r="C26" s="126">
        <f>SUM(C21:C25)</f>
        <v>94</v>
      </c>
      <c r="D26" s="126">
        <f>SUM(D21:D25)*1.2</f>
        <v>37.2</v>
      </c>
      <c r="E26" s="126">
        <f>SUM(E21:E25)*1.5</f>
        <v>37.5</v>
      </c>
      <c r="F26" s="126">
        <f t="shared" ref="F26:G26" si="6">SUM(F21:F25)*2</f>
        <v>16</v>
      </c>
      <c r="G26" s="126">
        <f t="shared" si="6"/>
        <v>2</v>
      </c>
      <c r="H26" s="126">
        <f>SUM(H21:H25) *-1</f>
        <v>-16</v>
      </c>
      <c r="I26" s="127">
        <f>SUM(C26:H26)</f>
        <v>170.7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B32" s="76"/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6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96"/>
      <c r="C35" s="126"/>
      <c r="D35" s="126"/>
      <c r="E35" s="126"/>
      <c r="F35" s="126"/>
      <c r="G35" s="126"/>
      <c r="H35" s="126"/>
      <c r="I35" s="127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8" t="s">
        <v>13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90</v>
      </c>
      <c r="C3" s="60">
        <v>8.0</v>
      </c>
      <c r="D3" s="60">
        <v>5.0</v>
      </c>
      <c r="E3" s="60">
        <v>7.0</v>
      </c>
      <c r="F3" s="60">
        <v>4.0</v>
      </c>
      <c r="G3" s="60">
        <v>0.0</v>
      </c>
      <c r="H3" s="71">
        <v>5.0</v>
      </c>
      <c r="I3" s="72">
        <f t="shared" ref="I3:I7" si="1">sum(C3+1.2*D3+1.5*E3+2*F3+2*G3)-H3</f>
        <v>27.5</v>
      </c>
    </row>
    <row r="4">
      <c r="A4" s="76" t="s">
        <v>215</v>
      </c>
      <c r="B4" s="76" t="s">
        <v>100</v>
      </c>
      <c r="C4" s="60">
        <v>21.0</v>
      </c>
      <c r="D4" s="60">
        <v>5.0</v>
      </c>
      <c r="E4" s="60">
        <v>7.0</v>
      </c>
      <c r="F4" s="60">
        <v>1.0</v>
      </c>
      <c r="G4" s="60">
        <v>0.0</v>
      </c>
      <c r="H4" s="71">
        <v>3.0</v>
      </c>
      <c r="I4" s="72">
        <f t="shared" si="1"/>
        <v>36.5</v>
      </c>
    </row>
    <row r="5">
      <c r="A5" s="76" t="s">
        <v>216</v>
      </c>
      <c r="B5" s="76" t="s">
        <v>184</v>
      </c>
      <c r="C5" s="60">
        <v>20.0</v>
      </c>
      <c r="D5" s="60">
        <v>19.0</v>
      </c>
      <c r="E5" s="60">
        <v>7.0</v>
      </c>
      <c r="F5" s="60">
        <v>1.0</v>
      </c>
      <c r="G5" s="60">
        <v>3.0</v>
      </c>
      <c r="H5" s="71">
        <v>8.0</v>
      </c>
      <c r="I5" s="72">
        <f t="shared" si="1"/>
        <v>53.3</v>
      </c>
    </row>
    <row r="6">
      <c r="A6" s="76" t="s">
        <v>216</v>
      </c>
      <c r="B6" s="76" t="s">
        <v>371</v>
      </c>
      <c r="C6" s="60">
        <v>24.0</v>
      </c>
      <c r="D6" s="60">
        <v>9.0</v>
      </c>
      <c r="E6" s="60">
        <v>4.0</v>
      </c>
      <c r="F6" s="60">
        <v>0.0</v>
      </c>
      <c r="G6" s="60">
        <v>0.0</v>
      </c>
      <c r="H6" s="71">
        <v>3.0</v>
      </c>
      <c r="I6" s="72">
        <f t="shared" si="1"/>
        <v>37.8</v>
      </c>
    </row>
    <row r="7">
      <c r="A7" s="76" t="s">
        <v>216</v>
      </c>
      <c r="B7" s="118" t="s">
        <v>126</v>
      </c>
      <c r="C7" s="77">
        <v>8.0</v>
      </c>
      <c r="D7" s="77">
        <v>4.0</v>
      </c>
      <c r="E7" s="77">
        <v>5.0</v>
      </c>
      <c r="F7" s="77">
        <v>1.0</v>
      </c>
      <c r="G7" s="77">
        <v>0.0</v>
      </c>
      <c r="H7" s="78">
        <v>5.0</v>
      </c>
      <c r="I7" s="72">
        <f t="shared" si="1"/>
        <v>17.3</v>
      </c>
    </row>
    <row r="8">
      <c r="A8" s="96"/>
      <c r="B8" s="102" t="s">
        <v>217</v>
      </c>
      <c r="C8" s="103">
        <f>SUM(C3:C7)</f>
        <v>81</v>
      </c>
      <c r="D8" s="103">
        <f>SUM(D3:D7)*1.2</f>
        <v>50.4</v>
      </c>
      <c r="E8" s="103">
        <f>SUM(E3:E7)*1.5</f>
        <v>45</v>
      </c>
      <c r="F8" s="103">
        <f t="shared" ref="F8:G8" si="2">SUM(F3:F7)*2</f>
        <v>14</v>
      </c>
      <c r="G8" s="103">
        <f t="shared" si="2"/>
        <v>6</v>
      </c>
      <c r="H8" s="104">
        <f>SUM(H3:H7) *-1</f>
        <v>-24</v>
      </c>
      <c r="I8" s="105">
        <f>SUM(C8:H8)</f>
        <v>172.4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12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376</v>
      </c>
      <c r="C12" s="60">
        <v>24.0</v>
      </c>
      <c r="D12" s="60">
        <v>5.0</v>
      </c>
      <c r="E12" s="60">
        <v>9.0</v>
      </c>
      <c r="F12" s="60">
        <v>4.0</v>
      </c>
      <c r="G12" s="60">
        <v>1.0</v>
      </c>
      <c r="H12" s="71">
        <v>2.0</v>
      </c>
      <c r="I12" s="73">
        <f t="shared" ref="I12:I16" si="3">sum(C12+1.2*D12+1.5*E12+2*F12+2*G12)-H12</f>
        <v>51.5</v>
      </c>
    </row>
    <row r="13">
      <c r="A13" s="76" t="s">
        <v>215</v>
      </c>
      <c r="B13" s="76" t="s">
        <v>74</v>
      </c>
      <c r="C13" s="60">
        <v>28.0</v>
      </c>
      <c r="D13" s="60">
        <v>3.0</v>
      </c>
      <c r="E13" s="60">
        <v>6.0</v>
      </c>
      <c r="F13" s="60">
        <v>0.0</v>
      </c>
      <c r="G13" s="60">
        <v>1.0</v>
      </c>
      <c r="H13" s="71">
        <v>5.0</v>
      </c>
      <c r="I13" s="73">
        <f t="shared" si="3"/>
        <v>37.6</v>
      </c>
    </row>
    <row r="14">
      <c r="A14" s="76" t="s">
        <v>216</v>
      </c>
      <c r="B14" s="76" t="s">
        <v>86</v>
      </c>
      <c r="C14" s="60">
        <v>22.0</v>
      </c>
      <c r="D14" s="60">
        <v>5.0</v>
      </c>
      <c r="E14" s="60">
        <v>0.0</v>
      </c>
      <c r="F14" s="60">
        <v>1.0</v>
      </c>
      <c r="G14" s="60">
        <v>0.0</v>
      </c>
      <c r="H14" s="71">
        <v>2.0</v>
      </c>
      <c r="I14" s="73">
        <f t="shared" si="3"/>
        <v>28</v>
      </c>
    </row>
    <row r="15">
      <c r="A15" s="76" t="s">
        <v>216</v>
      </c>
      <c r="B15" s="76" t="s">
        <v>128</v>
      </c>
      <c r="C15" s="60">
        <v>20.0</v>
      </c>
      <c r="D15" s="60">
        <v>12.0</v>
      </c>
      <c r="E15" s="60">
        <v>2.0</v>
      </c>
      <c r="F15" s="60">
        <v>1.0</v>
      </c>
      <c r="G15" s="60">
        <v>0.0</v>
      </c>
      <c r="H15" s="71">
        <v>0.0</v>
      </c>
      <c r="I15" s="73">
        <f t="shared" si="3"/>
        <v>39.4</v>
      </c>
    </row>
    <row r="16">
      <c r="A16" s="76" t="s">
        <v>216</v>
      </c>
      <c r="B16" s="118" t="s">
        <v>190</v>
      </c>
      <c r="C16" s="77">
        <v>13.0</v>
      </c>
      <c r="D16" s="77">
        <v>6.0</v>
      </c>
      <c r="E16" s="77">
        <v>1.0</v>
      </c>
      <c r="F16" s="77">
        <v>3.0</v>
      </c>
      <c r="G16" s="77">
        <v>0.0</v>
      </c>
      <c r="H16" s="78">
        <v>0.0</v>
      </c>
      <c r="I16" s="73">
        <f t="shared" si="3"/>
        <v>27.7</v>
      </c>
    </row>
    <row r="17">
      <c r="A17" s="96"/>
      <c r="B17" s="102" t="s">
        <v>217</v>
      </c>
      <c r="C17" s="103">
        <f>SUM(C12:C16)</f>
        <v>107</v>
      </c>
      <c r="D17" s="103">
        <f>SUM(D12:D16)*1.2</f>
        <v>37.2</v>
      </c>
      <c r="E17" s="103">
        <f>SUM(E12:E16)*1.5</f>
        <v>27</v>
      </c>
      <c r="F17" s="103">
        <f t="shared" ref="F17:G17" si="4">SUM(F12:F16)*2</f>
        <v>18</v>
      </c>
      <c r="G17" s="103">
        <f t="shared" si="4"/>
        <v>4</v>
      </c>
      <c r="H17" s="104">
        <f>SUM(H12:H16) *-1</f>
        <v>-9</v>
      </c>
      <c r="I17" s="105">
        <f>SUM(C17:H17)</f>
        <v>184.2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/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/>
      <c r="C21" s="60"/>
      <c r="D21" s="60"/>
      <c r="E21" s="60"/>
      <c r="F21" s="60"/>
      <c r="G21" s="60"/>
      <c r="H21" s="71"/>
      <c r="I21" s="73">
        <f t="shared" ref="I21:I25" si="5">sum(C21+1.2*D21+1.5*E21+2*F21+2*G21)-H21</f>
        <v>0</v>
      </c>
    </row>
    <row r="22">
      <c r="A22" s="76" t="s">
        <v>215</v>
      </c>
      <c r="B22" s="76"/>
      <c r="C22" s="60"/>
      <c r="D22" s="60"/>
      <c r="E22" s="60"/>
      <c r="F22" s="60"/>
      <c r="G22" s="60"/>
      <c r="H22" s="71"/>
      <c r="I22" s="73">
        <f t="shared" si="5"/>
        <v>0</v>
      </c>
    </row>
    <row r="23">
      <c r="A23" s="76" t="s">
        <v>216</v>
      </c>
      <c r="B23" s="76"/>
      <c r="C23" s="60"/>
      <c r="D23" s="60"/>
      <c r="E23" s="60"/>
      <c r="F23" s="60"/>
      <c r="G23" s="60"/>
      <c r="H23" s="71"/>
      <c r="I23" s="73">
        <f t="shared" si="5"/>
        <v>0</v>
      </c>
    </row>
    <row r="24">
      <c r="A24" s="76" t="s">
        <v>216</v>
      </c>
      <c r="B24" s="76"/>
      <c r="C24" s="60"/>
      <c r="D24" s="60"/>
      <c r="E24" s="60"/>
      <c r="F24" s="60"/>
      <c r="G24" s="60"/>
      <c r="H24" s="71"/>
      <c r="I24" s="73">
        <f t="shared" si="5"/>
        <v>0</v>
      </c>
    </row>
    <row r="25">
      <c r="A25" s="76" t="s">
        <v>216</v>
      </c>
      <c r="B25" s="76"/>
      <c r="C25" s="60"/>
      <c r="D25" s="60"/>
      <c r="E25" s="60"/>
      <c r="F25" s="60"/>
      <c r="G25" s="60"/>
      <c r="H25" s="71"/>
      <c r="I25" s="73">
        <f t="shared" si="5"/>
        <v>0</v>
      </c>
    </row>
    <row r="26">
      <c r="A26" s="96"/>
      <c r="B26" s="96" t="s">
        <v>217</v>
      </c>
      <c r="C26" s="126">
        <f>SUM(C21:C25)</f>
        <v>0</v>
      </c>
      <c r="D26" s="126">
        <f>SUM(D21:D25)*1.2</f>
        <v>0</v>
      </c>
      <c r="E26" s="126">
        <f>SUM(E21:E25)*1.5</f>
        <v>0</v>
      </c>
      <c r="F26" s="126">
        <f t="shared" ref="F26:G26" si="6">SUM(F21:F25)*2</f>
        <v>0</v>
      </c>
      <c r="G26" s="126">
        <f t="shared" si="6"/>
        <v>0</v>
      </c>
      <c r="H26" s="126">
        <f>SUM(H21:H25) *-1</f>
        <v>0</v>
      </c>
      <c r="I26" s="127">
        <f>SUM(C26:H26)</f>
        <v>0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/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/>
      <c r="C30" s="60"/>
      <c r="D30" s="60"/>
      <c r="E30" s="60"/>
      <c r="F30" s="60"/>
      <c r="G30" s="60"/>
      <c r="H30" s="71"/>
      <c r="I30" s="73">
        <f t="shared" ref="I30:I34" si="7">sum(C30+1.2*D30+1.5*E30+2*F30+2*G30)-H30</f>
        <v>0</v>
      </c>
    </row>
    <row r="31">
      <c r="A31" s="76" t="s">
        <v>215</v>
      </c>
      <c r="B31" s="76"/>
      <c r="C31" s="60"/>
      <c r="D31" s="60"/>
      <c r="E31" s="60"/>
      <c r="F31" s="60"/>
      <c r="G31" s="60"/>
      <c r="H31" s="71"/>
      <c r="I31" s="73">
        <f t="shared" si="7"/>
        <v>0</v>
      </c>
    </row>
    <row r="32">
      <c r="A32" s="76" t="s">
        <v>216</v>
      </c>
      <c r="B32" s="76"/>
      <c r="C32" s="60"/>
      <c r="D32" s="60"/>
      <c r="E32" s="60"/>
      <c r="F32" s="60"/>
      <c r="G32" s="60"/>
      <c r="H32" s="71"/>
      <c r="I32" s="73">
        <f t="shared" si="7"/>
        <v>0</v>
      </c>
    </row>
    <row r="33">
      <c r="A33" s="76" t="s">
        <v>216</v>
      </c>
      <c r="B33" s="76"/>
      <c r="C33" s="60"/>
      <c r="D33" s="60"/>
      <c r="E33" s="60"/>
      <c r="F33" s="60"/>
      <c r="G33" s="60"/>
      <c r="H33" s="71"/>
      <c r="I33" s="73">
        <f t="shared" si="7"/>
        <v>0</v>
      </c>
    </row>
    <row r="34">
      <c r="A34" s="76" t="s">
        <v>216</v>
      </c>
      <c r="B34" s="76"/>
      <c r="C34" s="60"/>
      <c r="D34" s="60"/>
      <c r="E34" s="60"/>
      <c r="F34" s="60"/>
      <c r="G34" s="60"/>
      <c r="H34" s="71"/>
      <c r="I34" s="73">
        <f t="shared" si="7"/>
        <v>0</v>
      </c>
    </row>
    <row r="35">
      <c r="A35" s="96"/>
      <c r="B35" s="96"/>
      <c r="C35" s="126"/>
      <c r="D35" s="126"/>
      <c r="E35" s="126"/>
      <c r="F35" s="126"/>
      <c r="G35" s="126"/>
      <c r="H35" s="126"/>
      <c r="I35" s="127">
        <f>SUM(C35:H35)</f>
        <v>0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8" t="s">
        <v>10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49</v>
      </c>
      <c r="C3" s="60">
        <v>26.0</v>
      </c>
      <c r="D3" s="60">
        <v>1.0</v>
      </c>
      <c r="E3" s="60">
        <v>3.0</v>
      </c>
      <c r="F3" s="60">
        <v>4.0</v>
      </c>
      <c r="G3" s="60">
        <v>3.0</v>
      </c>
      <c r="H3" s="71">
        <v>5.0</v>
      </c>
      <c r="I3" s="72">
        <f t="shared" ref="I3:I7" si="1">sum(C3+1.2*D3+1.5*E3+2*F3+2*G3)-H3</f>
        <v>40.7</v>
      </c>
    </row>
    <row r="4">
      <c r="A4" s="76" t="s">
        <v>215</v>
      </c>
      <c r="B4" s="76" t="s">
        <v>377</v>
      </c>
      <c r="C4" s="60">
        <v>9.0</v>
      </c>
      <c r="D4" s="60">
        <v>10.0</v>
      </c>
      <c r="E4" s="60">
        <v>8.0</v>
      </c>
      <c r="F4" s="60">
        <v>2.0</v>
      </c>
      <c r="G4" s="60">
        <v>3.0</v>
      </c>
      <c r="H4" s="71">
        <v>2.0</v>
      </c>
      <c r="I4" s="72">
        <f t="shared" si="1"/>
        <v>41</v>
      </c>
    </row>
    <row r="5">
      <c r="A5" s="76" t="s">
        <v>378</v>
      </c>
      <c r="B5" s="76" t="s">
        <v>248</v>
      </c>
      <c r="C5" s="60">
        <v>6.0</v>
      </c>
      <c r="D5" s="60">
        <v>3.0</v>
      </c>
      <c r="E5" s="60">
        <v>0.0</v>
      </c>
      <c r="F5" s="60">
        <v>0.0</v>
      </c>
      <c r="G5" s="60">
        <v>0.0</v>
      </c>
      <c r="H5" s="71">
        <v>1.0</v>
      </c>
      <c r="I5" s="72">
        <f t="shared" si="1"/>
        <v>8.6</v>
      </c>
    </row>
    <row r="6">
      <c r="A6" s="76" t="s">
        <v>378</v>
      </c>
      <c r="B6" s="76" t="s">
        <v>70</v>
      </c>
      <c r="C6" s="60">
        <v>11.0</v>
      </c>
      <c r="D6" s="60">
        <v>10.0</v>
      </c>
      <c r="E6" s="60">
        <v>2.0</v>
      </c>
      <c r="F6" s="60">
        <v>0.0</v>
      </c>
      <c r="G6" s="60">
        <v>0.0</v>
      </c>
      <c r="H6" s="71">
        <v>4.0</v>
      </c>
      <c r="I6" s="72">
        <f t="shared" si="1"/>
        <v>22</v>
      </c>
    </row>
    <row r="7">
      <c r="A7" s="96" t="s">
        <v>379</v>
      </c>
      <c r="B7" s="118" t="s">
        <v>56</v>
      </c>
      <c r="C7" s="77">
        <v>22.0</v>
      </c>
      <c r="D7" s="77">
        <v>9.0</v>
      </c>
      <c r="E7" s="77">
        <v>7.0</v>
      </c>
      <c r="F7" s="77">
        <v>2.0</v>
      </c>
      <c r="G7" s="77">
        <v>0.0</v>
      </c>
      <c r="H7" s="78">
        <v>5.0</v>
      </c>
      <c r="I7" s="72">
        <f t="shared" si="1"/>
        <v>42.3</v>
      </c>
    </row>
    <row r="8">
      <c r="A8" s="96"/>
      <c r="B8" s="102" t="s">
        <v>217</v>
      </c>
      <c r="C8" s="103">
        <f>SUM(C3:C7)</f>
        <v>74</v>
      </c>
      <c r="D8" s="103">
        <f>SUM(D3:D7)*1.2</f>
        <v>39.6</v>
      </c>
      <c r="E8" s="103">
        <f>SUM(E3:E7)*1.5</f>
        <v>30</v>
      </c>
      <c r="F8" s="103">
        <f t="shared" ref="F8:G8" si="2">SUM(F3:F7)*2</f>
        <v>16</v>
      </c>
      <c r="G8" s="103">
        <f t="shared" si="2"/>
        <v>12</v>
      </c>
      <c r="H8" s="104">
        <f>SUM(H3:H7) *-1</f>
        <v>-17</v>
      </c>
      <c r="I8" s="105">
        <f>SUM(C8:H8)</f>
        <v>154.6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11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115</v>
      </c>
      <c r="C12" s="60">
        <v>18.0</v>
      </c>
      <c r="D12" s="60">
        <v>6.0</v>
      </c>
      <c r="E12" s="60">
        <v>2.0</v>
      </c>
      <c r="F12" s="60">
        <v>2.0</v>
      </c>
      <c r="G12" s="60">
        <v>0.0</v>
      </c>
      <c r="H12" s="71">
        <v>6.0</v>
      </c>
      <c r="I12" s="73">
        <f t="shared" ref="I12:I16" si="3">sum(C12+1.2*D12+1.5*E12+2*F12+2*G12)-H12</f>
        <v>26.2</v>
      </c>
    </row>
    <row r="13">
      <c r="A13" s="76" t="s">
        <v>215</v>
      </c>
      <c r="B13" s="76" t="s">
        <v>380</v>
      </c>
      <c r="C13" s="60">
        <v>18.0</v>
      </c>
      <c r="D13" s="60">
        <v>2.0</v>
      </c>
      <c r="E13" s="60">
        <v>5.0</v>
      </c>
      <c r="F13" s="60">
        <v>2.0</v>
      </c>
      <c r="G13" s="60">
        <v>1.0</v>
      </c>
      <c r="H13" s="71">
        <v>1.0</v>
      </c>
      <c r="I13" s="73">
        <f t="shared" si="3"/>
        <v>32.9</v>
      </c>
    </row>
    <row r="14">
      <c r="A14" s="76" t="s">
        <v>378</v>
      </c>
      <c r="B14" s="76" t="s">
        <v>381</v>
      </c>
      <c r="C14" s="60">
        <v>33.0</v>
      </c>
      <c r="D14" s="60">
        <v>9.0</v>
      </c>
      <c r="E14" s="60">
        <v>4.0</v>
      </c>
      <c r="F14" s="60">
        <v>0.0</v>
      </c>
      <c r="G14" s="60">
        <v>0.0</v>
      </c>
      <c r="H14" s="71">
        <v>5.0</v>
      </c>
      <c r="I14" s="73">
        <f t="shared" si="3"/>
        <v>44.8</v>
      </c>
    </row>
    <row r="15">
      <c r="A15" s="76" t="s">
        <v>378</v>
      </c>
      <c r="B15" s="76" t="s">
        <v>58</v>
      </c>
      <c r="C15" s="60">
        <v>13.0</v>
      </c>
      <c r="D15" s="60">
        <v>5.0</v>
      </c>
      <c r="E15" s="60">
        <v>1.0</v>
      </c>
      <c r="F15" s="60">
        <v>1.0</v>
      </c>
      <c r="G15" s="60">
        <v>0.0</v>
      </c>
      <c r="H15" s="71">
        <v>1.0</v>
      </c>
      <c r="I15" s="73">
        <f t="shared" si="3"/>
        <v>21.5</v>
      </c>
    </row>
    <row r="16">
      <c r="A16" s="96" t="s">
        <v>379</v>
      </c>
      <c r="B16" s="118" t="s">
        <v>66</v>
      </c>
      <c r="C16" s="77">
        <v>13.0</v>
      </c>
      <c r="D16" s="77">
        <v>14.0</v>
      </c>
      <c r="E16" s="77">
        <v>6.0</v>
      </c>
      <c r="F16" s="77">
        <v>1.0</v>
      </c>
      <c r="G16" s="77">
        <v>1.0</v>
      </c>
      <c r="H16" s="78">
        <v>1.0</v>
      </c>
      <c r="I16" s="73">
        <f t="shared" si="3"/>
        <v>41.8</v>
      </c>
    </row>
    <row r="17">
      <c r="A17" s="96"/>
      <c r="B17" s="102" t="s">
        <v>217</v>
      </c>
      <c r="C17" s="103">
        <f>SUM(C12:C16)</f>
        <v>95</v>
      </c>
      <c r="D17" s="103">
        <f>SUM(D12:D16)*1.2</f>
        <v>43.2</v>
      </c>
      <c r="E17" s="103">
        <f>SUM(E12:E16)*1.5</f>
        <v>27</v>
      </c>
      <c r="F17" s="103">
        <f t="shared" ref="F17:G17" si="4">SUM(F12:F16)*2</f>
        <v>12</v>
      </c>
      <c r="G17" s="103">
        <f t="shared" si="4"/>
        <v>4</v>
      </c>
      <c r="H17" s="104">
        <f>SUM(H12:H16) *-1</f>
        <v>-14</v>
      </c>
      <c r="I17" s="105">
        <f>SUM(C17:H17)</f>
        <v>167.2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12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96</v>
      </c>
      <c r="C21" s="60">
        <v>23.0</v>
      </c>
      <c r="D21" s="60">
        <v>3.0</v>
      </c>
      <c r="E21" s="60">
        <v>4.0</v>
      </c>
      <c r="F21" s="60">
        <v>1.0</v>
      </c>
      <c r="G21" s="60">
        <v>1.0</v>
      </c>
      <c r="H21" s="71">
        <v>0.0</v>
      </c>
      <c r="I21" s="73">
        <f t="shared" ref="I21:I25" si="5">sum(C21+1.2*D21+1.5*E21+2*F21+2*G21)-H21</f>
        <v>36.6</v>
      </c>
    </row>
    <row r="22">
      <c r="A22" s="76" t="s">
        <v>215</v>
      </c>
      <c r="B22" s="76" t="s">
        <v>382</v>
      </c>
      <c r="C22" s="60">
        <v>35.0</v>
      </c>
      <c r="D22" s="60">
        <v>5.0</v>
      </c>
      <c r="E22" s="60">
        <v>11.0</v>
      </c>
      <c r="F22" s="60">
        <v>3.0</v>
      </c>
      <c r="G22" s="60">
        <v>0.0</v>
      </c>
      <c r="H22" s="71">
        <v>3.0</v>
      </c>
      <c r="I22" s="73">
        <f t="shared" si="5"/>
        <v>60.5</v>
      </c>
    </row>
    <row r="23">
      <c r="A23" s="76" t="s">
        <v>378</v>
      </c>
      <c r="B23" s="76" t="s">
        <v>383</v>
      </c>
      <c r="C23" s="60">
        <v>31.0</v>
      </c>
      <c r="D23" s="60">
        <v>5.0</v>
      </c>
      <c r="E23" s="60">
        <v>4.0</v>
      </c>
      <c r="F23" s="60">
        <v>1.0</v>
      </c>
      <c r="G23" s="60">
        <v>2.0</v>
      </c>
      <c r="H23" s="71">
        <v>1.0</v>
      </c>
      <c r="I23" s="73">
        <f t="shared" si="5"/>
        <v>48</v>
      </c>
    </row>
    <row r="24">
      <c r="A24" s="76" t="s">
        <v>378</v>
      </c>
      <c r="B24" s="76" t="s">
        <v>50</v>
      </c>
      <c r="C24" s="60">
        <v>38.0</v>
      </c>
      <c r="D24" s="60">
        <v>5.0</v>
      </c>
      <c r="E24" s="60">
        <v>5.0</v>
      </c>
      <c r="F24" s="60">
        <v>1.0</v>
      </c>
      <c r="G24" s="60">
        <v>1.0</v>
      </c>
      <c r="H24" s="71">
        <v>3.0</v>
      </c>
      <c r="I24" s="73">
        <f t="shared" si="5"/>
        <v>52.5</v>
      </c>
    </row>
    <row r="25">
      <c r="A25" s="96" t="s">
        <v>379</v>
      </c>
      <c r="B25" s="76" t="s">
        <v>370</v>
      </c>
      <c r="C25" s="60">
        <v>22.0</v>
      </c>
      <c r="D25" s="60">
        <v>12.0</v>
      </c>
      <c r="E25" s="60">
        <v>3.0</v>
      </c>
      <c r="F25" s="60">
        <v>3.0</v>
      </c>
      <c r="G25" s="60">
        <v>7.0</v>
      </c>
      <c r="H25" s="71">
        <v>3.0</v>
      </c>
      <c r="I25" s="73">
        <f t="shared" si="5"/>
        <v>57.9</v>
      </c>
    </row>
    <row r="26">
      <c r="A26" s="96"/>
      <c r="B26" s="96" t="s">
        <v>217</v>
      </c>
      <c r="C26" s="126">
        <f>SUM(C21:C25)</f>
        <v>149</v>
      </c>
      <c r="D26" s="126">
        <f>SUM(D21:D25)*1.2</f>
        <v>36</v>
      </c>
      <c r="E26" s="126">
        <f>SUM(E21:E25)*1.5</f>
        <v>40.5</v>
      </c>
      <c r="F26" s="126">
        <f t="shared" ref="F26:G26" si="6">SUM(F21:F25)*2</f>
        <v>18</v>
      </c>
      <c r="G26" s="126">
        <f t="shared" si="6"/>
        <v>22</v>
      </c>
      <c r="H26" s="126">
        <f>SUM(H21:H25) *-1</f>
        <v>-10</v>
      </c>
      <c r="I26" s="127">
        <f>SUM(C26:H26)</f>
        <v>255.5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13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129</v>
      </c>
      <c r="C30" s="60">
        <v>16.0</v>
      </c>
      <c r="D30" s="60">
        <v>7.0</v>
      </c>
      <c r="E30" s="60">
        <v>16.0</v>
      </c>
      <c r="F30" s="60">
        <v>1.0</v>
      </c>
      <c r="G30" s="60">
        <v>0.0</v>
      </c>
      <c r="H30" s="71">
        <v>1.0</v>
      </c>
      <c r="I30" s="73">
        <f t="shared" ref="I30:I34" si="7">sum(C30+1.2*D30+1.5*E30+2*F30+2*G30)-H30</f>
        <v>49.4</v>
      </c>
    </row>
    <row r="31">
      <c r="A31" s="76" t="s">
        <v>215</v>
      </c>
      <c r="B31" s="76" t="s">
        <v>384</v>
      </c>
      <c r="C31" s="60">
        <v>24.0</v>
      </c>
      <c r="D31" s="60">
        <v>8.0</v>
      </c>
      <c r="E31" s="60">
        <v>8.0</v>
      </c>
      <c r="F31" s="60">
        <v>0.0</v>
      </c>
      <c r="G31" s="60">
        <v>1.0</v>
      </c>
      <c r="H31" s="71">
        <v>1.0</v>
      </c>
      <c r="I31" s="73">
        <f t="shared" si="7"/>
        <v>46.6</v>
      </c>
    </row>
    <row r="32">
      <c r="A32" s="76" t="s">
        <v>378</v>
      </c>
      <c r="B32" s="76" t="s">
        <v>71</v>
      </c>
      <c r="C32" s="60">
        <v>21.0</v>
      </c>
      <c r="D32" s="60">
        <v>11.0</v>
      </c>
      <c r="E32" s="60">
        <v>5.0</v>
      </c>
      <c r="F32" s="60">
        <v>2.0</v>
      </c>
      <c r="G32" s="60">
        <v>3.0</v>
      </c>
      <c r="H32" s="71">
        <v>5.0</v>
      </c>
      <c r="I32" s="73">
        <f t="shared" si="7"/>
        <v>46.7</v>
      </c>
    </row>
    <row r="33">
      <c r="A33" s="76" t="s">
        <v>378</v>
      </c>
      <c r="B33" s="76" t="s">
        <v>194</v>
      </c>
      <c r="C33" s="60">
        <v>27.0</v>
      </c>
      <c r="D33" s="60">
        <v>9.0</v>
      </c>
      <c r="E33" s="60">
        <v>11.0</v>
      </c>
      <c r="F33" s="60">
        <v>1.0</v>
      </c>
      <c r="G33" s="60">
        <v>2.0</v>
      </c>
      <c r="H33" s="71">
        <v>1.0</v>
      </c>
      <c r="I33" s="73">
        <f t="shared" si="7"/>
        <v>59.3</v>
      </c>
    </row>
    <row r="34">
      <c r="A34" s="96" t="s">
        <v>379</v>
      </c>
      <c r="B34" s="76" t="s">
        <v>385</v>
      </c>
      <c r="C34" s="60">
        <v>8.0</v>
      </c>
      <c r="D34" s="60">
        <v>13.0</v>
      </c>
      <c r="E34" s="60">
        <v>0.0</v>
      </c>
      <c r="F34" s="60">
        <v>0.0</v>
      </c>
      <c r="G34" s="60">
        <v>2.0</v>
      </c>
      <c r="H34" s="71">
        <v>1.0</v>
      </c>
      <c r="I34" s="73">
        <f t="shared" si="7"/>
        <v>26.6</v>
      </c>
    </row>
    <row r="35">
      <c r="A35" s="96"/>
      <c r="B35" s="96" t="s">
        <v>217</v>
      </c>
      <c r="C35" s="126">
        <f>SUM(C30:C34)</f>
        <v>96</v>
      </c>
      <c r="D35" s="126">
        <f>SUM(D30:D34)*1.2</f>
        <v>57.6</v>
      </c>
      <c r="E35" s="126">
        <f>SUM(E30:E34)*1.5</f>
        <v>60</v>
      </c>
      <c r="F35" s="126">
        <f t="shared" ref="F35:G35" si="8">SUM(F30:F34)*2</f>
        <v>8</v>
      </c>
      <c r="G35" s="126">
        <f t="shared" si="8"/>
        <v>16</v>
      </c>
      <c r="H35" s="126">
        <f>SUM(H30:H34) *-1</f>
        <v>-9</v>
      </c>
      <c r="I35" s="127">
        <f>SUM(C35:H35)</f>
        <v>228.6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98" t="s">
        <v>12</v>
      </c>
      <c r="B1" s="96"/>
      <c r="C1" s="96"/>
      <c r="D1" s="96"/>
      <c r="E1" s="96"/>
      <c r="F1" s="96"/>
      <c r="G1" s="96"/>
      <c r="H1" s="96"/>
      <c r="I1" s="116"/>
    </row>
    <row r="2">
      <c r="A2" s="96" t="s">
        <v>207</v>
      </c>
      <c r="B2" s="96" t="s">
        <v>6</v>
      </c>
      <c r="C2" s="76" t="s">
        <v>208</v>
      </c>
      <c r="D2" s="76" t="s">
        <v>209</v>
      </c>
      <c r="E2" s="76" t="s">
        <v>210</v>
      </c>
      <c r="F2" s="76" t="s">
        <v>211</v>
      </c>
      <c r="G2" s="76" t="s">
        <v>212</v>
      </c>
      <c r="H2" s="100" t="s">
        <v>213</v>
      </c>
      <c r="I2" s="101" t="s">
        <v>214</v>
      </c>
    </row>
    <row r="3">
      <c r="A3" s="76" t="s">
        <v>215</v>
      </c>
      <c r="B3" s="76" t="s">
        <v>376</v>
      </c>
      <c r="C3" s="60">
        <v>38.0</v>
      </c>
      <c r="D3" s="60">
        <v>1.0</v>
      </c>
      <c r="E3" s="60">
        <v>5.0</v>
      </c>
      <c r="F3" s="60">
        <v>3.0</v>
      </c>
      <c r="G3" s="60">
        <v>0.0</v>
      </c>
      <c r="H3" s="71">
        <v>3.0</v>
      </c>
      <c r="I3" s="72">
        <f t="shared" ref="I3:I7" si="1">sum(C3+1.2*D3+1.5*E3+2*F3+2*G3)-H3</f>
        <v>49.7</v>
      </c>
    </row>
    <row r="4">
      <c r="A4" s="76" t="s">
        <v>215</v>
      </c>
      <c r="B4" s="76" t="s">
        <v>44</v>
      </c>
      <c r="C4" s="60">
        <v>17.0</v>
      </c>
      <c r="D4" s="60">
        <v>0.0</v>
      </c>
      <c r="E4" s="60">
        <v>1.0</v>
      </c>
      <c r="F4" s="60">
        <v>4.0</v>
      </c>
      <c r="G4" s="60">
        <v>1.0</v>
      </c>
      <c r="H4" s="71">
        <v>5.0</v>
      </c>
      <c r="I4" s="72">
        <f t="shared" si="1"/>
        <v>23.5</v>
      </c>
    </row>
    <row r="5">
      <c r="A5" s="76" t="s">
        <v>378</v>
      </c>
      <c r="B5" s="76" t="s">
        <v>100</v>
      </c>
      <c r="C5" s="60">
        <v>30.0</v>
      </c>
      <c r="D5" s="60">
        <v>5.0</v>
      </c>
      <c r="E5" s="60">
        <v>1.0</v>
      </c>
      <c r="F5" s="60">
        <v>0.0</v>
      </c>
      <c r="G5" s="60">
        <v>1.0</v>
      </c>
      <c r="H5" s="71">
        <v>3.0</v>
      </c>
      <c r="I5" s="72">
        <f t="shared" si="1"/>
        <v>36.5</v>
      </c>
    </row>
    <row r="6">
      <c r="A6" s="76" t="s">
        <v>378</v>
      </c>
      <c r="B6" s="76" t="s">
        <v>126</v>
      </c>
      <c r="C6" s="60">
        <v>4.0</v>
      </c>
      <c r="D6" s="60">
        <v>9.0</v>
      </c>
      <c r="E6" s="60">
        <v>11.0</v>
      </c>
      <c r="F6" s="60">
        <v>2.0</v>
      </c>
      <c r="G6" s="60">
        <v>1.0</v>
      </c>
      <c r="H6" s="71">
        <v>3.0</v>
      </c>
      <c r="I6" s="72">
        <f t="shared" si="1"/>
        <v>34.3</v>
      </c>
    </row>
    <row r="7">
      <c r="A7" s="96" t="s">
        <v>379</v>
      </c>
      <c r="B7" s="118" t="s">
        <v>184</v>
      </c>
      <c r="C7" s="77">
        <v>26.0</v>
      </c>
      <c r="D7" s="77">
        <v>5.0</v>
      </c>
      <c r="E7" s="77">
        <v>3.0</v>
      </c>
      <c r="F7" s="77">
        <v>1.0</v>
      </c>
      <c r="G7" s="77">
        <v>2.0</v>
      </c>
      <c r="H7" s="78">
        <v>2.0</v>
      </c>
      <c r="I7" s="72">
        <f t="shared" si="1"/>
        <v>40.5</v>
      </c>
    </row>
    <row r="8">
      <c r="A8" s="96"/>
      <c r="B8" s="102" t="s">
        <v>217</v>
      </c>
      <c r="C8" s="103">
        <f>SUM(C3:C7)</f>
        <v>115</v>
      </c>
      <c r="D8" s="103">
        <f>SUM(D3:D7)*1.2</f>
        <v>24</v>
      </c>
      <c r="E8" s="103">
        <f>SUM(E3:E7)*1.5</f>
        <v>31.5</v>
      </c>
      <c r="F8" s="103">
        <f t="shared" ref="F8:G8" si="2">SUM(F3:F7)*2</f>
        <v>20</v>
      </c>
      <c r="G8" s="103">
        <f t="shared" si="2"/>
        <v>10</v>
      </c>
      <c r="H8" s="104">
        <f>SUM(H3:H7) *-1</f>
        <v>-16</v>
      </c>
      <c r="I8" s="105">
        <f>SUM(C8:H8)</f>
        <v>184.5</v>
      </c>
    </row>
    <row r="9">
      <c r="A9" s="106"/>
      <c r="B9" s="106"/>
      <c r="C9" s="106"/>
      <c r="D9" s="106"/>
      <c r="E9" s="106"/>
      <c r="F9" s="106"/>
      <c r="G9" s="106"/>
      <c r="H9" s="106"/>
      <c r="I9" s="106"/>
    </row>
    <row r="10">
      <c r="A10" s="98" t="s">
        <v>13</v>
      </c>
      <c r="B10" s="96"/>
      <c r="C10" s="96"/>
      <c r="D10" s="96"/>
      <c r="E10" s="96"/>
      <c r="F10" s="96"/>
      <c r="G10" s="96"/>
      <c r="H10" s="96"/>
      <c r="I10" s="99"/>
    </row>
    <row r="11">
      <c r="A11" s="96" t="s">
        <v>207</v>
      </c>
      <c r="B11" s="96" t="s">
        <v>6</v>
      </c>
      <c r="C11" s="76" t="s">
        <v>208</v>
      </c>
      <c r="D11" s="76" t="s">
        <v>209</v>
      </c>
      <c r="E11" s="76" t="s">
        <v>210</v>
      </c>
      <c r="F11" s="76" t="s">
        <v>211</v>
      </c>
      <c r="G11" s="76" t="s">
        <v>212</v>
      </c>
      <c r="H11" s="100" t="s">
        <v>213</v>
      </c>
      <c r="I11" s="107" t="s">
        <v>214</v>
      </c>
    </row>
    <row r="12">
      <c r="A12" s="76" t="s">
        <v>215</v>
      </c>
      <c r="B12" s="76" t="s">
        <v>90</v>
      </c>
      <c r="C12" s="60">
        <v>23.0</v>
      </c>
      <c r="D12" s="60">
        <v>4.0</v>
      </c>
      <c r="E12" s="60">
        <v>13.0</v>
      </c>
      <c r="F12" s="60">
        <v>1.0</v>
      </c>
      <c r="G12" s="60">
        <v>0.0</v>
      </c>
      <c r="H12" s="71">
        <v>4.0</v>
      </c>
      <c r="I12" s="73">
        <f t="shared" ref="I12:I16" si="3">sum(C12+1.2*D12+1.5*E12+2*F12+2*G12)-H12</f>
        <v>45.3</v>
      </c>
    </row>
    <row r="13">
      <c r="A13" s="76" t="s">
        <v>215</v>
      </c>
      <c r="B13" s="76" t="s">
        <v>386</v>
      </c>
      <c r="C13" s="60">
        <v>24.0</v>
      </c>
      <c r="D13" s="60">
        <v>8.0</v>
      </c>
      <c r="E13" s="60">
        <v>6.0</v>
      </c>
      <c r="F13" s="60">
        <v>3.0</v>
      </c>
      <c r="G13" s="60">
        <v>0.0</v>
      </c>
      <c r="H13" s="71">
        <v>1.0</v>
      </c>
      <c r="I13" s="73">
        <f t="shared" si="3"/>
        <v>47.6</v>
      </c>
    </row>
    <row r="14">
      <c r="A14" s="76" t="s">
        <v>378</v>
      </c>
      <c r="B14" s="76" t="s">
        <v>69</v>
      </c>
      <c r="C14" s="60">
        <v>25.0</v>
      </c>
      <c r="D14" s="60">
        <v>11.0</v>
      </c>
      <c r="E14" s="60">
        <v>2.0</v>
      </c>
      <c r="F14" s="60">
        <v>0.0</v>
      </c>
      <c r="G14" s="60">
        <v>0.0</v>
      </c>
      <c r="H14" s="71">
        <v>2.0</v>
      </c>
      <c r="I14" s="73">
        <f t="shared" si="3"/>
        <v>39.2</v>
      </c>
    </row>
    <row r="15">
      <c r="A15" s="76" t="s">
        <v>378</v>
      </c>
      <c r="B15" s="76" t="s">
        <v>88</v>
      </c>
      <c r="C15" s="60">
        <v>19.0</v>
      </c>
      <c r="D15" s="60">
        <v>10.0</v>
      </c>
      <c r="E15" s="60">
        <v>4.0</v>
      </c>
      <c r="F15" s="60">
        <v>2.0</v>
      </c>
      <c r="G15" s="60">
        <v>0.0</v>
      </c>
      <c r="H15" s="71">
        <v>5.0</v>
      </c>
      <c r="I15" s="73">
        <f t="shared" si="3"/>
        <v>36</v>
      </c>
    </row>
    <row r="16">
      <c r="A16" s="96" t="s">
        <v>379</v>
      </c>
      <c r="B16" s="118" t="s">
        <v>387</v>
      </c>
      <c r="C16" s="77">
        <v>12.0</v>
      </c>
      <c r="D16" s="77">
        <v>8.0</v>
      </c>
      <c r="E16" s="77">
        <v>0.0</v>
      </c>
      <c r="F16" s="77">
        <v>1.0</v>
      </c>
      <c r="G16" s="77">
        <v>0.0</v>
      </c>
      <c r="H16" s="78">
        <v>0.0</v>
      </c>
      <c r="I16" s="73">
        <f t="shared" si="3"/>
        <v>23.6</v>
      </c>
    </row>
    <row r="17">
      <c r="A17" s="96"/>
      <c r="B17" s="102" t="s">
        <v>217</v>
      </c>
      <c r="C17" s="103">
        <f>SUM(C12:C16)</f>
        <v>103</v>
      </c>
      <c r="D17" s="103">
        <f>SUM(D12:D16)*1.2</f>
        <v>49.2</v>
      </c>
      <c r="E17" s="103">
        <f>SUM(E12:E16)*1.5</f>
        <v>37.5</v>
      </c>
      <c r="F17" s="103">
        <f t="shared" ref="F17:G17" si="4">SUM(F12:F16)*2</f>
        <v>14</v>
      </c>
      <c r="G17" s="103">
        <f t="shared" si="4"/>
        <v>0</v>
      </c>
      <c r="H17" s="104">
        <f>SUM(H12:H16) *-1</f>
        <v>-12</v>
      </c>
      <c r="I17" s="105">
        <f>SUM(C17:H17)</f>
        <v>191.7</v>
      </c>
    </row>
    <row r="18">
      <c r="A18" s="106"/>
      <c r="B18" s="106"/>
      <c r="C18" s="106"/>
      <c r="D18" s="106"/>
      <c r="E18" s="106"/>
      <c r="F18" s="106"/>
      <c r="G18" s="106"/>
      <c r="H18" s="106"/>
      <c r="I18" s="106"/>
    </row>
    <row r="19">
      <c r="A19" s="98" t="s">
        <v>10</v>
      </c>
      <c r="B19" s="96"/>
      <c r="C19" s="96"/>
      <c r="D19" s="96"/>
      <c r="E19" s="96"/>
      <c r="F19" s="96"/>
      <c r="G19" s="96"/>
      <c r="H19" s="96"/>
      <c r="I19" s="99"/>
    </row>
    <row r="20">
      <c r="A20" s="96" t="s">
        <v>207</v>
      </c>
      <c r="B20" s="96" t="s">
        <v>6</v>
      </c>
      <c r="C20" s="76" t="s">
        <v>208</v>
      </c>
      <c r="D20" s="76" t="s">
        <v>209</v>
      </c>
      <c r="E20" s="76" t="s">
        <v>210</v>
      </c>
      <c r="F20" s="76" t="s">
        <v>211</v>
      </c>
      <c r="G20" s="76" t="s">
        <v>212</v>
      </c>
      <c r="H20" s="100" t="s">
        <v>213</v>
      </c>
      <c r="I20" s="107" t="s">
        <v>214</v>
      </c>
    </row>
    <row r="21">
      <c r="A21" s="76" t="s">
        <v>215</v>
      </c>
      <c r="B21" s="76" t="s">
        <v>74</v>
      </c>
      <c r="C21" s="60">
        <v>30.0</v>
      </c>
      <c r="D21" s="60">
        <v>6.0</v>
      </c>
      <c r="E21" s="60">
        <v>2.0</v>
      </c>
      <c r="F21" s="60">
        <v>0.0</v>
      </c>
      <c r="G21" s="60">
        <v>0.0</v>
      </c>
      <c r="H21" s="71">
        <v>5.0</v>
      </c>
      <c r="I21" s="73">
        <f t="shared" ref="I21:I25" si="5">sum(C21+1.2*D21+1.5*E21+2*F21+2*G21)-H21</f>
        <v>35.2</v>
      </c>
    </row>
    <row r="22">
      <c r="A22" s="76" t="s">
        <v>215</v>
      </c>
      <c r="B22" s="76" t="s">
        <v>375</v>
      </c>
      <c r="C22" s="60">
        <v>16.0</v>
      </c>
      <c r="D22" s="60">
        <v>3.0</v>
      </c>
      <c r="E22" s="60">
        <v>8.0</v>
      </c>
      <c r="F22" s="60">
        <v>2.0</v>
      </c>
      <c r="G22" s="60">
        <v>0.0</v>
      </c>
      <c r="H22" s="71">
        <v>5.0</v>
      </c>
      <c r="I22" s="73">
        <f t="shared" si="5"/>
        <v>30.6</v>
      </c>
    </row>
    <row r="23">
      <c r="A23" s="76" t="s">
        <v>378</v>
      </c>
      <c r="B23" s="76" t="s">
        <v>388</v>
      </c>
      <c r="C23" s="60">
        <v>29.0</v>
      </c>
      <c r="D23" s="60">
        <v>12.0</v>
      </c>
      <c r="E23" s="60">
        <v>3.0</v>
      </c>
      <c r="F23" s="60">
        <v>1.0</v>
      </c>
      <c r="G23" s="60">
        <v>0.0</v>
      </c>
      <c r="H23" s="71">
        <v>6.0</v>
      </c>
      <c r="I23" s="73">
        <f t="shared" si="5"/>
        <v>43.9</v>
      </c>
    </row>
    <row r="24">
      <c r="A24" s="76" t="s">
        <v>378</v>
      </c>
      <c r="B24" s="76" t="s">
        <v>178</v>
      </c>
      <c r="C24" s="60">
        <v>7.0</v>
      </c>
      <c r="D24" s="60">
        <v>4.0</v>
      </c>
      <c r="E24" s="60">
        <v>6.0</v>
      </c>
      <c r="F24" s="60">
        <v>4.0</v>
      </c>
      <c r="G24" s="60">
        <v>0.0</v>
      </c>
      <c r="H24" s="71">
        <v>1.0</v>
      </c>
      <c r="I24" s="73">
        <f t="shared" si="5"/>
        <v>27.8</v>
      </c>
    </row>
    <row r="25">
      <c r="A25" s="96" t="s">
        <v>379</v>
      </c>
      <c r="B25" s="76" t="s">
        <v>389</v>
      </c>
      <c r="C25" s="60">
        <v>5.0</v>
      </c>
      <c r="D25" s="60">
        <v>10.0</v>
      </c>
      <c r="E25" s="60">
        <v>1.0</v>
      </c>
      <c r="F25" s="60">
        <v>0.0</v>
      </c>
      <c r="G25" s="60">
        <v>3.0</v>
      </c>
      <c r="H25" s="71">
        <v>0.0</v>
      </c>
      <c r="I25" s="73">
        <f t="shared" si="5"/>
        <v>24.5</v>
      </c>
    </row>
    <row r="26">
      <c r="A26" s="96"/>
      <c r="B26" s="96" t="s">
        <v>217</v>
      </c>
      <c r="C26" s="126">
        <f>SUM(C21:C25)</f>
        <v>87</v>
      </c>
      <c r="D26" s="126">
        <f>SUM(D21:D25)*1.2</f>
        <v>42</v>
      </c>
      <c r="E26" s="126">
        <f>SUM(E21:E25)*1.5</f>
        <v>30</v>
      </c>
      <c r="F26" s="126">
        <f t="shared" ref="F26:G26" si="6">SUM(F21:F25)*2</f>
        <v>14</v>
      </c>
      <c r="G26" s="126">
        <f t="shared" si="6"/>
        <v>6</v>
      </c>
      <c r="H26" s="126">
        <f>SUM(H21:H25) *-1</f>
        <v>-17</v>
      </c>
      <c r="I26" s="127">
        <f>SUM(C26:H26)</f>
        <v>162</v>
      </c>
    </row>
    <row r="27">
      <c r="A27" s="106"/>
      <c r="B27" s="106"/>
      <c r="C27" s="106"/>
      <c r="D27" s="106"/>
      <c r="E27" s="106"/>
      <c r="F27" s="106"/>
      <c r="G27" s="106"/>
      <c r="H27" s="106"/>
      <c r="I27" s="106"/>
    </row>
    <row r="28">
      <c r="A28" s="98" t="s">
        <v>11</v>
      </c>
      <c r="B28" s="96"/>
      <c r="C28" s="96"/>
      <c r="D28" s="96"/>
      <c r="E28" s="96"/>
      <c r="F28" s="96"/>
      <c r="G28" s="96"/>
      <c r="H28" s="96"/>
      <c r="I28" s="99"/>
    </row>
    <row r="29">
      <c r="A29" s="96" t="s">
        <v>207</v>
      </c>
      <c r="B29" s="96" t="s">
        <v>6</v>
      </c>
      <c r="C29" s="76" t="s">
        <v>208</v>
      </c>
      <c r="D29" s="76" t="s">
        <v>209</v>
      </c>
      <c r="E29" s="76" t="s">
        <v>210</v>
      </c>
      <c r="F29" s="76" t="s">
        <v>211</v>
      </c>
      <c r="G29" s="76" t="s">
        <v>212</v>
      </c>
      <c r="H29" s="100" t="s">
        <v>213</v>
      </c>
      <c r="I29" s="107" t="s">
        <v>214</v>
      </c>
    </row>
    <row r="30">
      <c r="A30" s="76" t="s">
        <v>215</v>
      </c>
      <c r="B30" s="76" t="s">
        <v>87</v>
      </c>
      <c r="C30" s="60">
        <v>38.0</v>
      </c>
      <c r="D30" s="60">
        <v>5.0</v>
      </c>
      <c r="E30" s="60">
        <v>8.0</v>
      </c>
      <c r="F30" s="60">
        <v>3.0</v>
      </c>
      <c r="G30" s="60">
        <v>1.0</v>
      </c>
      <c r="H30" s="71">
        <v>2.0</v>
      </c>
      <c r="I30" s="73">
        <f t="shared" ref="I30:I34" si="7">sum(C30+1.2*D30+1.5*E30+2*F30+2*G30)-H30</f>
        <v>62</v>
      </c>
    </row>
    <row r="31">
      <c r="A31" s="76" t="s">
        <v>215</v>
      </c>
      <c r="B31" s="76" t="s">
        <v>84</v>
      </c>
      <c r="C31" s="60">
        <v>27.0</v>
      </c>
      <c r="D31" s="60">
        <v>2.0</v>
      </c>
      <c r="E31" s="60">
        <v>2.0</v>
      </c>
      <c r="F31" s="60">
        <v>2.0</v>
      </c>
      <c r="G31" s="60">
        <v>0.0</v>
      </c>
      <c r="H31" s="71">
        <v>1.0</v>
      </c>
      <c r="I31" s="73">
        <f t="shared" si="7"/>
        <v>35.4</v>
      </c>
    </row>
    <row r="32">
      <c r="A32" s="76" t="s">
        <v>378</v>
      </c>
      <c r="B32" s="76" t="s">
        <v>91</v>
      </c>
      <c r="C32" s="60">
        <v>8.0</v>
      </c>
      <c r="D32" s="60">
        <v>11.0</v>
      </c>
      <c r="E32" s="60">
        <v>2.0</v>
      </c>
      <c r="F32" s="60">
        <v>1.0</v>
      </c>
      <c r="G32" s="60">
        <v>0.0</v>
      </c>
      <c r="H32" s="71">
        <v>2.0</v>
      </c>
      <c r="I32" s="73">
        <f t="shared" si="7"/>
        <v>24.2</v>
      </c>
    </row>
    <row r="33">
      <c r="A33" s="76" t="s">
        <v>378</v>
      </c>
      <c r="B33" s="76" t="s">
        <v>134</v>
      </c>
      <c r="C33" s="60">
        <v>6.0</v>
      </c>
      <c r="D33" s="60">
        <v>9.0</v>
      </c>
      <c r="E33" s="60">
        <v>2.0</v>
      </c>
      <c r="F33" s="60">
        <v>1.0</v>
      </c>
      <c r="G33" s="60">
        <v>2.0</v>
      </c>
      <c r="H33" s="71">
        <v>2.0</v>
      </c>
      <c r="I33" s="73">
        <f t="shared" si="7"/>
        <v>23.8</v>
      </c>
    </row>
    <row r="34">
      <c r="A34" s="96" t="s">
        <v>379</v>
      </c>
      <c r="B34" s="76" t="s">
        <v>371</v>
      </c>
      <c r="C34" s="60">
        <v>12.0</v>
      </c>
      <c r="D34" s="60">
        <v>16.0</v>
      </c>
      <c r="E34" s="60">
        <v>2.0</v>
      </c>
      <c r="F34" s="60">
        <v>3.0</v>
      </c>
      <c r="G34" s="60">
        <v>0.0</v>
      </c>
      <c r="H34" s="71">
        <v>4.0</v>
      </c>
      <c r="I34" s="73">
        <f t="shared" si="7"/>
        <v>36.2</v>
      </c>
    </row>
    <row r="35">
      <c r="A35" s="96"/>
      <c r="B35" s="96" t="s">
        <v>217</v>
      </c>
      <c r="C35" s="126">
        <f>SUM(C30:C34)</f>
        <v>91</v>
      </c>
      <c r="D35" s="126">
        <f>SUM(D30:D34)*1.2</f>
        <v>51.6</v>
      </c>
      <c r="E35" s="126">
        <f>SUM(E30:E34)*1.5</f>
        <v>24</v>
      </c>
      <c r="F35" s="126">
        <f t="shared" ref="F35:G35" si="8">SUM(F30:F34)*2</f>
        <v>20</v>
      </c>
      <c r="G35" s="126">
        <f t="shared" si="8"/>
        <v>6</v>
      </c>
      <c r="H35" s="126">
        <f>SUM(H30:H34) *-1</f>
        <v>-11</v>
      </c>
      <c r="I35" s="127">
        <f>SUM(C35:H35)</f>
        <v>181.6</v>
      </c>
    </row>
    <row r="36">
      <c r="A36" s="106"/>
      <c r="B36" s="106"/>
      <c r="C36" s="106"/>
      <c r="D36" s="106"/>
      <c r="E36" s="106"/>
      <c r="F36" s="106"/>
      <c r="G36" s="106"/>
      <c r="H36" s="106"/>
      <c r="I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111">
        <v>46126.0</v>
      </c>
      <c r="C1" s="94" t="s">
        <v>202</v>
      </c>
      <c r="D1" s="93" t="b">
        <v>0</v>
      </c>
      <c r="E1" s="94" t="s">
        <v>203</v>
      </c>
      <c r="F1" s="112">
        <v>46128.48331689815</v>
      </c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111">
        <v>46127.0</v>
      </c>
      <c r="C2" s="94" t="s">
        <v>205</v>
      </c>
      <c r="D2" s="93" t="b">
        <v>0</v>
      </c>
      <c r="E2" s="94" t="s">
        <v>4</v>
      </c>
      <c r="F2" s="93" t="s">
        <v>390</v>
      </c>
      <c r="G2" s="96"/>
      <c r="H2" s="96"/>
      <c r="I2" s="96"/>
      <c r="K2" s="34" t="s">
        <v>10</v>
      </c>
      <c r="L2" s="113">
        <v>46147.0</v>
      </c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113">
        <v>46147.0</v>
      </c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182.2</v>
      </c>
      <c r="K4" s="34" t="s">
        <v>12</v>
      </c>
      <c r="L4" s="113">
        <v>46147.0</v>
      </c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113">
        <v>46147.0</v>
      </c>
      <c r="M5" s="34" t="s">
        <v>206</v>
      </c>
    </row>
    <row r="6">
      <c r="A6" s="76" t="s">
        <v>215</v>
      </c>
      <c r="B6" s="36" t="s">
        <v>36</v>
      </c>
      <c r="C6" s="60">
        <v>30.0</v>
      </c>
      <c r="D6" s="60">
        <v>5.0</v>
      </c>
      <c r="E6" s="60">
        <v>10.0</v>
      </c>
      <c r="F6" s="60">
        <v>1.0</v>
      </c>
      <c r="G6" s="60">
        <v>1.0</v>
      </c>
      <c r="H6" s="71">
        <v>3.0</v>
      </c>
      <c r="I6" s="72">
        <f t="shared" ref="I6:I10" si="1">sum(C6+1.2*D6+1.5*E6+2*F6+2*G6)-H6</f>
        <v>52</v>
      </c>
      <c r="J6" s="36" t="s">
        <v>219</v>
      </c>
    </row>
    <row r="7">
      <c r="A7" s="76" t="s">
        <v>215</v>
      </c>
      <c r="B7" s="76" t="s">
        <v>43</v>
      </c>
      <c r="C7" s="60">
        <v>34.0</v>
      </c>
      <c r="D7" s="60">
        <v>3.0</v>
      </c>
      <c r="E7" s="60">
        <v>3.0</v>
      </c>
      <c r="F7" s="60">
        <v>0.0</v>
      </c>
      <c r="G7" s="60">
        <v>1.0</v>
      </c>
      <c r="H7" s="71">
        <v>5.0</v>
      </c>
      <c r="I7" s="72">
        <f t="shared" si="1"/>
        <v>39.1</v>
      </c>
      <c r="J7" s="36" t="s">
        <v>219</v>
      </c>
    </row>
    <row r="8">
      <c r="A8" s="76" t="s">
        <v>216</v>
      </c>
      <c r="B8" s="70" t="s">
        <v>56</v>
      </c>
      <c r="C8" s="60">
        <v>6.0</v>
      </c>
      <c r="D8" s="60">
        <v>3.0</v>
      </c>
      <c r="E8" s="60">
        <v>1.0</v>
      </c>
      <c r="F8" s="60">
        <v>1.0</v>
      </c>
      <c r="G8" s="60">
        <v>0.0</v>
      </c>
      <c r="H8" s="71">
        <v>0.0</v>
      </c>
      <c r="I8" s="72">
        <f t="shared" si="1"/>
        <v>13.1</v>
      </c>
      <c r="J8" s="36" t="s">
        <v>219</v>
      </c>
    </row>
    <row r="9">
      <c r="A9" s="76" t="s">
        <v>216</v>
      </c>
      <c r="B9" s="76" t="s">
        <v>42</v>
      </c>
      <c r="C9" s="60">
        <v>23.0</v>
      </c>
      <c r="D9" s="60">
        <v>5.0</v>
      </c>
      <c r="E9" s="60">
        <v>5.0</v>
      </c>
      <c r="F9" s="60">
        <v>0.0</v>
      </c>
      <c r="G9" s="60">
        <v>2.0</v>
      </c>
      <c r="H9" s="71">
        <v>1.0</v>
      </c>
      <c r="I9" s="72">
        <f t="shared" si="1"/>
        <v>39.5</v>
      </c>
      <c r="J9" s="36" t="s">
        <v>219</v>
      </c>
    </row>
    <row r="10">
      <c r="A10" s="76" t="s">
        <v>216</v>
      </c>
      <c r="B10" s="36" t="s">
        <v>45</v>
      </c>
      <c r="C10" s="60">
        <v>20.0</v>
      </c>
      <c r="D10" s="60">
        <v>5.0</v>
      </c>
      <c r="E10" s="60">
        <v>5.0</v>
      </c>
      <c r="F10" s="60">
        <v>1.0</v>
      </c>
      <c r="G10" s="60">
        <v>2.0</v>
      </c>
      <c r="H10" s="71">
        <v>1.0</v>
      </c>
      <c r="I10" s="72">
        <f t="shared" si="1"/>
        <v>38.5</v>
      </c>
      <c r="J10" s="36" t="s">
        <v>219</v>
      </c>
    </row>
    <row r="11">
      <c r="A11" s="96"/>
      <c r="B11" s="102" t="s">
        <v>217</v>
      </c>
      <c r="C11" s="103">
        <f>SUM(C6:C10)</f>
        <v>113</v>
      </c>
      <c r="D11" s="103">
        <f>SUM(D6:D10)*1.2</f>
        <v>25.2</v>
      </c>
      <c r="E11" s="103">
        <f>SUM(E6:E10)*1.5</f>
        <v>36</v>
      </c>
      <c r="F11" s="103">
        <f t="shared" ref="F11:G11" si="2">SUM(F6:F10)*2</f>
        <v>6</v>
      </c>
      <c r="G11" s="103">
        <f t="shared" si="2"/>
        <v>12</v>
      </c>
      <c r="H11" s="104">
        <f>SUM(H6:H10) *-1</f>
        <v>-10</v>
      </c>
      <c r="I11" s="105">
        <f>SUM(C11:H11)</f>
        <v>182.2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140.5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 t="s">
        <v>41</v>
      </c>
      <c r="C15" s="60">
        <v>35.0</v>
      </c>
      <c r="D15" s="60">
        <v>1.0</v>
      </c>
      <c r="E15" s="60">
        <v>4.0</v>
      </c>
      <c r="F15" s="60">
        <v>1.0</v>
      </c>
      <c r="G15" s="60">
        <v>0.0</v>
      </c>
      <c r="H15" s="71">
        <v>3.0</v>
      </c>
      <c r="I15" s="73">
        <f t="shared" ref="I15:I19" si="3">sum(C15+1.2*D15+1.5*E15+2*F15+2*G15)-H15</f>
        <v>41.2</v>
      </c>
      <c r="J15" s="36" t="s">
        <v>219</v>
      </c>
    </row>
    <row r="16">
      <c r="A16" s="76" t="s">
        <v>215</v>
      </c>
      <c r="B16" s="76" t="s">
        <v>55</v>
      </c>
      <c r="C16" s="60">
        <v>6.0</v>
      </c>
      <c r="D16" s="60">
        <v>5.0</v>
      </c>
      <c r="E16" s="60">
        <v>1.0</v>
      </c>
      <c r="F16" s="60">
        <v>0.0</v>
      </c>
      <c r="G16" s="60">
        <v>0.0</v>
      </c>
      <c r="H16" s="71">
        <v>0.0</v>
      </c>
      <c r="I16" s="73">
        <f t="shared" si="3"/>
        <v>13.5</v>
      </c>
      <c r="J16" s="36" t="s">
        <v>219</v>
      </c>
    </row>
    <row r="17">
      <c r="A17" s="76" t="s">
        <v>216</v>
      </c>
      <c r="B17" s="76" t="s">
        <v>51</v>
      </c>
      <c r="C17" s="60">
        <v>18.0</v>
      </c>
      <c r="D17" s="60">
        <v>5.0</v>
      </c>
      <c r="E17" s="60">
        <v>4.0</v>
      </c>
      <c r="F17" s="60">
        <v>0.0</v>
      </c>
      <c r="G17" s="60">
        <v>1.0</v>
      </c>
      <c r="H17" s="71">
        <v>6.0</v>
      </c>
      <c r="I17" s="73">
        <f t="shared" si="3"/>
        <v>26</v>
      </c>
      <c r="J17" s="36" t="s">
        <v>219</v>
      </c>
    </row>
    <row r="18">
      <c r="A18" s="76" t="s">
        <v>216</v>
      </c>
      <c r="B18" s="76" t="s">
        <v>46</v>
      </c>
      <c r="C18" s="60">
        <v>20.0</v>
      </c>
      <c r="D18" s="60">
        <v>7.0</v>
      </c>
      <c r="E18" s="60">
        <v>2.0</v>
      </c>
      <c r="F18" s="60">
        <v>4.0</v>
      </c>
      <c r="G18" s="60">
        <v>0.0</v>
      </c>
      <c r="H18" s="71">
        <v>1.0</v>
      </c>
      <c r="I18" s="73">
        <f t="shared" si="3"/>
        <v>38.4</v>
      </c>
      <c r="J18" s="36" t="s">
        <v>219</v>
      </c>
    </row>
    <row r="19">
      <c r="A19" s="76" t="s">
        <v>216</v>
      </c>
      <c r="B19" s="70" t="s">
        <v>53</v>
      </c>
      <c r="C19" s="60">
        <v>16.0</v>
      </c>
      <c r="D19" s="60">
        <v>2.0</v>
      </c>
      <c r="E19" s="60">
        <v>0.0</v>
      </c>
      <c r="F19" s="60">
        <v>1.0</v>
      </c>
      <c r="G19" s="60">
        <v>1.0</v>
      </c>
      <c r="H19" s="71">
        <v>1.0</v>
      </c>
      <c r="I19" s="73">
        <f t="shared" si="3"/>
        <v>21.4</v>
      </c>
      <c r="J19" s="36" t="s">
        <v>219</v>
      </c>
    </row>
    <row r="20">
      <c r="A20" s="96"/>
      <c r="B20" s="102" t="s">
        <v>217</v>
      </c>
      <c r="C20" s="103">
        <f>SUM(C15:C19)</f>
        <v>95</v>
      </c>
      <c r="D20" s="103">
        <f>SUM(D15:D19)*1.2</f>
        <v>24</v>
      </c>
      <c r="E20" s="103">
        <f>SUM(E15:E19)*1.5</f>
        <v>16.5</v>
      </c>
      <c r="F20" s="103">
        <f t="shared" ref="F20:G20" si="4">SUM(F15:F19)*2</f>
        <v>12</v>
      </c>
      <c r="G20" s="103">
        <f t="shared" si="4"/>
        <v>4</v>
      </c>
      <c r="H20" s="104">
        <f>SUM(H15:H19) *-1</f>
        <v>-11</v>
      </c>
      <c r="I20" s="105">
        <f>SUM(C20:H20)</f>
        <v>140.5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217.9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36" t="s">
        <v>49</v>
      </c>
      <c r="C24" s="60">
        <v>22.0</v>
      </c>
      <c r="D24" s="60">
        <v>1.0</v>
      </c>
      <c r="E24" s="60">
        <v>4.0</v>
      </c>
      <c r="F24" s="60">
        <v>1.0</v>
      </c>
      <c r="G24" s="60">
        <v>0.0</v>
      </c>
      <c r="H24" s="71">
        <v>2.0</v>
      </c>
      <c r="I24" s="73">
        <f t="shared" ref="I24:I28" si="5">sum(C24+1.2*D24+1.5*E24+2*F24+2*G24)-H24</f>
        <v>29.2</v>
      </c>
      <c r="J24" s="36" t="s">
        <v>219</v>
      </c>
    </row>
    <row r="25">
      <c r="A25" s="76" t="s">
        <v>215</v>
      </c>
      <c r="B25" s="36" t="s">
        <v>44</v>
      </c>
      <c r="C25" s="60">
        <v>21.0</v>
      </c>
      <c r="D25" s="60">
        <v>5.0</v>
      </c>
      <c r="E25" s="60">
        <v>8.0</v>
      </c>
      <c r="F25" s="60">
        <v>1.0</v>
      </c>
      <c r="G25" s="60">
        <v>0.0</v>
      </c>
      <c r="H25" s="71">
        <v>2.0</v>
      </c>
      <c r="I25" s="73">
        <f t="shared" si="5"/>
        <v>39</v>
      </c>
      <c r="J25" s="36" t="s">
        <v>219</v>
      </c>
    </row>
    <row r="26">
      <c r="A26" s="76" t="s">
        <v>216</v>
      </c>
      <c r="B26" s="76" t="s">
        <v>33</v>
      </c>
      <c r="C26" s="60">
        <v>41.0</v>
      </c>
      <c r="D26" s="60">
        <v>7.0</v>
      </c>
      <c r="E26" s="60">
        <v>12.0</v>
      </c>
      <c r="F26" s="60">
        <v>0.0</v>
      </c>
      <c r="G26" s="60">
        <v>2.0</v>
      </c>
      <c r="H26" s="71">
        <v>5.0</v>
      </c>
      <c r="I26" s="73">
        <f t="shared" si="5"/>
        <v>66.4</v>
      </c>
      <c r="J26" s="36" t="s">
        <v>219</v>
      </c>
    </row>
    <row r="27">
      <c r="A27" s="76" t="s">
        <v>216</v>
      </c>
      <c r="B27" s="36" t="s">
        <v>48</v>
      </c>
      <c r="C27" s="60">
        <v>16.0</v>
      </c>
      <c r="D27" s="60">
        <v>5.0</v>
      </c>
      <c r="E27" s="60">
        <v>5.0</v>
      </c>
      <c r="F27" s="60">
        <v>2.0</v>
      </c>
      <c r="G27" s="60">
        <v>0.0</v>
      </c>
      <c r="H27" s="71">
        <v>0.0</v>
      </c>
      <c r="I27" s="73">
        <f t="shared" si="5"/>
        <v>33.5</v>
      </c>
      <c r="J27" s="36" t="s">
        <v>219</v>
      </c>
    </row>
    <row r="28">
      <c r="A28" s="76" t="s">
        <v>216</v>
      </c>
      <c r="B28" s="76" t="s">
        <v>39</v>
      </c>
      <c r="C28" s="60">
        <v>28.0</v>
      </c>
      <c r="D28" s="60">
        <v>9.0</v>
      </c>
      <c r="E28" s="60">
        <v>2.0</v>
      </c>
      <c r="F28" s="60">
        <v>1.0</v>
      </c>
      <c r="G28" s="60">
        <v>3.0</v>
      </c>
      <c r="H28" s="71">
        <v>0.0</v>
      </c>
      <c r="I28" s="73">
        <f t="shared" si="5"/>
        <v>49.8</v>
      </c>
      <c r="J28" s="36" t="s">
        <v>219</v>
      </c>
    </row>
    <row r="29">
      <c r="A29" s="96"/>
      <c r="B29" s="108" t="s">
        <v>217</v>
      </c>
      <c r="C29" s="109">
        <f>SUM(C24:C28)</f>
        <v>128</v>
      </c>
      <c r="D29" s="109">
        <f>SUM(D24:D28)*1.2</f>
        <v>32.4</v>
      </c>
      <c r="E29" s="109">
        <f>SUM(E24:E28)*1.5</f>
        <v>46.5</v>
      </c>
      <c r="F29" s="109">
        <f t="shared" ref="F29:G29" si="6">SUM(F24:F28)*2</f>
        <v>10</v>
      </c>
      <c r="G29" s="109">
        <f t="shared" si="6"/>
        <v>10</v>
      </c>
      <c r="H29" s="109">
        <f>SUM(H24:H28) *-1</f>
        <v>-9</v>
      </c>
      <c r="I29" s="110">
        <f>SUM(C29:H29)</f>
        <v>217.9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152.9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 t="s">
        <v>40</v>
      </c>
      <c r="C33" s="60">
        <v>31.0</v>
      </c>
      <c r="D33" s="60">
        <v>2.0</v>
      </c>
      <c r="E33" s="60">
        <v>6.0</v>
      </c>
      <c r="F33" s="60">
        <v>1.0</v>
      </c>
      <c r="G33" s="60">
        <v>1.0</v>
      </c>
      <c r="H33" s="71">
        <v>3.0</v>
      </c>
      <c r="I33" s="73">
        <f t="shared" ref="I33:I37" si="7">sum(C33+1.2*D33+1.5*E33+2*F33+2*G33)-H33</f>
        <v>43.4</v>
      </c>
      <c r="J33" s="36" t="s">
        <v>219</v>
      </c>
    </row>
    <row r="34">
      <c r="A34" s="76" t="s">
        <v>215</v>
      </c>
      <c r="B34" s="36" t="s">
        <v>47</v>
      </c>
      <c r="C34" s="60">
        <v>23.0</v>
      </c>
      <c r="D34" s="60">
        <v>3.0</v>
      </c>
      <c r="E34" s="60">
        <v>6.0</v>
      </c>
      <c r="F34" s="60">
        <v>0.0</v>
      </c>
      <c r="G34" s="60">
        <v>0.0</v>
      </c>
      <c r="H34" s="71">
        <v>2.0</v>
      </c>
      <c r="I34" s="73">
        <f t="shared" si="7"/>
        <v>33.6</v>
      </c>
      <c r="J34" s="36" t="s">
        <v>219</v>
      </c>
    </row>
    <row r="35">
      <c r="A35" s="76" t="s">
        <v>216</v>
      </c>
      <c r="B35" s="36" t="s">
        <v>50</v>
      </c>
      <c r="C35" s="60">
        <v>21.0</v>
      </c>
      <c r="D35" s="60">
        <v>7.0</v>
      </c>
      <c r="E35" s="60">
        <v>3.0</v>
      </c>
      <c r="F35" s="60">
        <v>0.0</v>
      </c>
      <c r="G35" s="60">
        <v>0.0</v>
      </c>
      <c r="H35" s="71">
        <v>5.0</v>
      </c>
      <c r="I35" s="73">
        <f t="shared" si="7"/>
        <v>28.9</v>
      </c>
      <c r="J35" s="36" t="s">
        <v>219</v>
      </c>
    </row>
    <row r="36">
      <c r="A36" s="76" t="s">
        <v>216</v>
      </c>
      <c r="B36" s="76" t="s">
        <v>54</v>
      </c>
      <c r="C36" s="60">
        <v>12.0</v>
      </c>
      <c r="D36" s="60">
        <v>4.0</v>
      </c>
      <c r="E36" s="60">
        <v>3.0</v>
      </c>
      <c r="F36" s="60">
        <v>0.0</v>
      </c>
      <c r="G36" s="60">
        <v>0.0</v>
      </c>
      <c r="H36" s="71">
        <v>0.0</v>
      </c>
      <c r="I36" s="73">
        <f t="shared" si="7"/>
        <v>21.3</v>
      </c>
      <c r="J36" s="36" t="s">
        <v>219</v>
      </c>
    </row>
    <row r="37">
      <c r="A37" s="76" t="s">
        <v>216</v>
      </c>
      <c r="B37" s="70" t="s">
        <v>52</v>
      </c>
      <c r="C37" s="60">
        <v>5.0</v>
      </c>
      <c r="D37" s="60">
        <v>11.0</v>
      </c>
      <c r="E37" s="60">
        <v>1.0</v>
      </c>
      <c r="F37" s="60">
        <v>1.0</v>
      </c>
      <c r="G37" s="60">
        <v>2.0</v>
      </c>
      <c r="H37" s="71">
        <v>0.0</v>
      </c>
      <c r="I37" s="73">
        <f t="shared" si="7"/>
        <v>25.7</v>
      </c>
      <c r="J37" s="36" t="s">
        <v>219</v>
      </c>
    </row>
    <row r="38">
      <c r="A38" s="96"/>
      <c r="B38" s="108" t="s">
        <v>217</v>
      </c>
      <c r="C38" s="109">
        <f>SUM(C33:C37)</f>
        <v>92</v>
      </c>
      <c r="D38" s="109">
        <f>SUM(D33:D37)*1.2</f>
        <v>32.4</v>
      </c>
      <c r="E38" s="109">
        <f>SUM(E33:E37)*1.5</f>
        <v>28.5</v>
      </c>
      <c r="F38" s="109">
        <f t="shared" ref="F38:G38" si="8">SUM(F33:F37)*2</f>
        <v>4</v>
      </c>
      <c r="G38" s="109">
        <f t="shared" si="8"/>
        <v>6</v>
      </c>
      <c r="H38" s="109">
        <f>SUM(H33:H37) *-1</f>
        <v>-10</v>
      </c>
      <c r="I38" s="110">
        <f>SUM(C38:H38)</f>
        <v>152.9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111">
        <v>46129.0</v>
      </c>
      <c r="C1" s="94" t="s">
        <v>202</v>
      </c>
      <c r="D1" s="93" t="b">
        <v>0</v>
      </c>
      <c r="E1" s="94" t="s">
        <v>203</v>
      </c>
      <c r="F1" s="112">
        <v>46130.22661309028</v>
      </c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111">
        <v>46129.0</v>
      </c>
      <c r="C2" s="94" t="s">
        <v>205</v>
      </c>
      <c r="D2" s="93" t="b">
        <v>0</v>
      </c>
      <c r="E2" s="94" t="s">
        <v>4</v>
      </c>
      <c r="F2" s="93" t="s">
        <v>391</v>
      </c>
      <c r="G2" s="96"/>
      <c r="H2" s="96"/>
      <c r="I2" s="96"/>
      <c r="K2" s="34" t="s">
        <v>10</v>
      </c>
      <c r="L2" s="113">
        <v>46147.0</v>
      </c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113">
        <v>46147.0</v>
      </c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129.4</v>
      </c>
      <c r="K4" s="34" t="s">
        <v>12</v>
      </c>
      <c r="L4" s="113">
        <v>46147.0</v>
      </c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113">
        <v>46147.0</v>
      </c>
      <c r="M5" s="34" t="s">
        <v>206</v>
      </c>
    </row>
    <row r="6">
      <c r="A6" s="76" t="s">
        <v>215</v>
      </c>
      <c r="B6" s="36" t="s">
        <v>43</v>
      </c>
      <c r="C6" s="60">
        <v>13.0</v>
      </c>
      <c r="D6" s="60">
        <v>7.0</v>
      </c>
      <c r="E6" s="60">
        <v>0.0</v>
      </c>
      <c r="F6" s="60">
        <v>3.0</v>
      </c>
      <c r="G6" s="60">
        <v>0.0</v>
      </c>
      <c r="H6" s="71">
        <v>1.0</v>
      </c>
      <c r="I6" s="72">
        <f t="shared" ref="I6:I10" si="1">sum(C6+1.2*D6+1.5*E6+2*F6+2*G6)-H6</f>
        <v>26.4</v>
      </c>
      <c r="J6" s="36" t="s">
        <v>219</v>
      </c>
    </row>
    <row r="7">
      <c r="A7" s="76" t="s">
        <v>215</v>
      </c>
      <c r="B7" s="76" t="s">
        <v>187</v>
      </c>
      <c r="C7" s="60">
        <v>12.0</v>
      </c>
      <c r="D7" s="60">
        <v>5.0</v>
      </c>
      <c r="E7" s="60">
        <v>6.0</v>
      </c>
      <c r="F7" s="60">
        <v>0.0</v>
      </c>
      <c r="G7" s="60">
        <v>1.0</v>
      </c>
      <c r="H7" s="71">
        <v>3.0</v>
      </c>
      <c r="I7" s="72">
        <f t="shared" si="1"/>
        <v>26</v>
      </c>
      <c r="J7" s="36" t="s">
        <v>219</v>
      </c>
    </row>
    <row r="8">
      <c r="A8" s="76" t="s">
        <v>216</v>
      </c>
      <c r="B8" s="70" t="s">
        <v>51</v>
      </c>
      <c r="C8" s="60">
        <v>25.0</v>
      </c>
      <c r="D8" s="60">
        <v>5.0</v>
      </c>
      <c r="E8" s="60">
        <v>6.0</v>
      </c>
      <c r="F8" s="60">
        <v>2.0</v>
      </c>
      <c r="G8" s="60">
        <v>1.0</v>
      </c>
      <c r="H8" s="71">
        <v>2.0</v>
      </c>
      <c r="I8" s="72">
        <f t="shared" si="1"/>
        <v>44</v>
      </c>
      <c r="J8" s="36" t="s">
        <v>219</v>
      </c>
    </row>
    <row r="9">
      <c r="A9" s="76" t="s">
        <v>216</v>
      </c>
      <c r="B9" s="76" t="s">
        <v>126</v>
      </c>
      <c r="C9" s="60">
        <v>5.0</v>
      </c>
      <c r="D9" s="60">
        <v>2.0</v>
      </c>
      <c r="E9" s="60">
        <v>6.0</v>
      </c>
      <c r="F9" s="60">
        <v>1.0</v>
      </c>
      <c r="G9" s="60">
        <v>0.0</v>
      </c>
      <c r="H9" s="71">
        <v>5.0</v>
      </c>
      <c r="I9" s="72">
        <f t="shared" si="1"/>
        <v>13.4</v>
      </c>
      <c r="J9" s="36" t="s">
        <v>219</v>
      </c>
    </row>
    <row r="10">
      <c r="A10" s="76" t="s">
        <v>216</v>
      </c>
      <c r="B10" s="36" t="s">
        <v>188</v>
      </c>
      <c r="C10" s="60">
        <v>2.0</v>
      </c>
      <c r="D10" s="60">
        <v>8.0</v>
      </c>
      <c r="E10" s="60">
        <v>2.0</v>
      </c>
      <c r="F10" s="60">
        <v>0.0</v>
      </c>
      <c r="G10" s="60">
        <v>3.0</v>
      </c>
      <c r="H10" s="71">
        <v>1.0</v>
      </c>
      <c r="I10" s="72">
        <f t="shared" si="1"/>
        <v>19.6</v>
      </c>
      <c r="J10" s="36" t="s">
        <v>219</v>
      </c>
    </row>
    <row r="11">
      <c r="A11" s="96"/>
      <c r="B11" s="102" t="s">
        <v>217</v>
      </c>
      <c r="C11" s="103">
        <f>SUM(C6:C10)</f>
        <v>57</v>
      </c>
      <c r="D11" s="103">
        <f>SUM(D6:D10)*1.2</f>
        <v>32.4</v>
      </c>
      <c r="E11" s="103">
        <f>SUM(E6:E10)*1.5</f>
        <v>30</v>
      </c>
      <c r="F11" s="103">
        <f t="shared" ref="F11:G11" si="2">SUM(F6:F10)*2</f>
        <v>12</v>
      </c>
      <c r="G11" s="103">
        <f t="shared" si="2"/>
        <v>10</v>
      </c>
      <c r="H11" s="104">
        <f>SUM(H6:H10) *-1</f>
        <v>-12</v>
      </c>
      <c r="I11" s="105">
        <f>SUM(C11:H11)</f>
        <v>129.4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84.5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 t="s">
        <v>36</v>
      </c>
      <c r="C15" s="60">
        <v>23.0</v>
      </c>
      <c r="D15" s="60">
        <v>2.0</v>
      </c>
      <c r="E15" s="60">
        <v>5.0</v>
      </c>
      <c r="F15" s="60">
        <v>0.0</v>
      </c>
      <c r="G15" s="60">
        <v>0.0</v>
      </c>
      <c r="H15" s="71">
        <v>3.0</v>
      </c>
      <c r="I15" s="73">
        <f t="shared" ref="I15:I19" si="3">sum(C15+1.2*D15+1.5*E15+2*F15+2*G15)-H15</f>
        <v>29.9</v>
      </c>
      <c r="J15" s="36" t="s">
        <v>219</v>
      </c>
    </row>
    <row r="16">
      <c r="A16" s="76" t="s">
        <v>215</v>
      </c>
      <c r="B16" s="76" t="s">
        <v>55</v>
      </c>
      <c r="C16" s="60">
        <v>11.0</v>
      </c>
      <c r="D16" s="60">
        <v>3.0</v>
      </c>
      <c r="E16" s="60">
        <v>1.0</v>
      </c>
      <c r="F16" s="60">
        <v>1.0</v>
      </c>
      <c r="G16" s="60">
        <v>0.0</v>
      </c>
      <c r="H16" s="71">
        <v>0.0</v>
      </c>
      <c r="I16" s="73">
        <f t="shared" si="3"/>
        <v>18.1</v>
      </c>
      <c r="J16" s="36" t="s">
        <v>219</v>
      </c>
    </row>
    <row r="17">
      <c r="A17" s="76" t="s">
        <v>216</v>
      </c>
      <c r="B17" s="76" t="s">
        <v>46</v>
      </c>
      <c r="C17" s="60">
        <v>13.0</v>
      </c>
      <c r="D17" s="60">
        <v>1.0</v>
      </c>
      <c r="E17" s="60">
        <v>4.0</v>
      </c>
      <c r="F17" s="60">
        <v>0.0</v>
      </c>
      <c r="G17" s="60">
        <v>0.0</v>
      </c>
      <c r="H17" s="71">
        <v>5.0</v>
      </c>
      <c r="I17" s="73">
        <f t="shared" si="3"/>
        <v>15.2</v>
      </c>
      <c r="J17" s="36" t="s">
        <v>219</v>
      </c>
    </row>
    <row r="18">
      <c r="A18" s="76" t="s">
        <v>216</v>
      </c>
      <c r="B18" s="76" t="s">
        <v>45</v>
      </c>
      <c r="C18" s="60">
        <v>11.0</v>
      </c>
      <c r="D18" s="60">
        <v>1.0</v>
      </c>
      <c r="E18" s="60">
        <v>0.0</v>
      </c>
      <c r="F18" s="60">
        <v>0.0</v>
      </c>
      <c r="G18" s="60">
        <v>0.0</v>
      </c>
      <c r="H18" s="71">
        <v>3.0</v>
      </c>
      <c r="I18" s="73">
        <f t="shared" si="3"/>
        <v>9.2</v>
      </c>
      <c r="J18" s="36" t="s">
        <v>219</v>
      </c>
    </row>
    <row r="19">
      <c r="A19" s="76" t="s">
        <v>216</v>
      </c>
      <c r="B19" s="70" t="s">
        <v>199</v>
      </c>
      <c r="C19" s="60">
        <v>2.0</v>
      </c>
      <c r="D19" s="60">
        <v>3.0</v>
      </c>
      <c r="E19" s="60">
        <v>1.0</v>
      </c>
      <c r="F19" s="60">
        <v>2.0</v>
      </c>
      <c r="G19" s="60">
        <v>1.0</v>
      </c>
      <c r="H19" s="71">
        <v>1.0</v>
      </c>
      <c r="I19" s="73">
        <f t="shared" si="3"/>
        <v>12.1</v>
      </c>
      <c r="J19" s="36" t="s">
        <v>219</v>
      </c>
    </row>
    <row r="20">
      <c r="A20" s="96"/>
      <c r="B20" s="102" t="s">
        <v>217</v>
      </c>
      <c r="C20" s="103">
        <f>SUM(C15:C19)</f>
        <v>60</v>
      </c>
      <c r="D20" s="103">
        <f>SUM(D15:D19)*1.2</f>
        <v>12</v>
      </c>
      <c r="E20" s="103">
        <f>SUM(E15:E19)*1.5</f>
        <v>16.5</v>
      </c>
      <c r="F20" s="103">
        <f t="shared" ref="F20:G20" si="4">SUM(F15:F19)*2</f>
        <v>6</v>
      </c>
      <c r="G20" s="103">
        <f t="shared" si="4"/>
        <v>2</v>
      </c>
      <c r="H20" s="104">
        <f>SUM(H15:H19) *-1</f>
        <v>-12</v>
      </c>
      <c r="I20" s="105">
        <f>SUM(C20:H20)</f>
        <v>84.5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138.2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36" t="s">
        <v>49</v>
      </c>
      <c r="C24" s="60">
        <v>20.0</v>
      </c>
      <c r="D24" s="60">
        <v>6.0</v>
      </c>
      <c r="E24" s="60">
        <v>8.0</v>
      </c>
      <c r="F24" s="60">
        <v>1.0</v>
      </c>
      <c r="G24" s="60">
        <v>0.0</v>
      </c>
      <c r="H24" s="71">
        <v>1.0</v>
      </c>
      <c r="I24" s="73">
        <f t="shared" ref="I24:I28" si="5">sum(C24+1.2*D24+1.5*E24+2*F24+2*G24)-H24</f>
        <v>40.2</v>
      </c>
      <c r="J24" s="36" t="s">
        <v>219</v>
      </c>
    </row>
    <row r="25">
      <c r="A25" s="76" t="s">
        <v>215</v>
      </c>
      <c r="B25" s="36" t="s">
        <v>94</v>
      </c>
      <c r="C25" s="60">
        <v>23.0</v>
      </c>
      <c r="D25" s="60">
        <v>10.0</v>
      </c>
      <c r="E25" s="60">
        <v>0.0</v>
      </c>
      <c r="F25" s="60">
        <v>1.0</v>
      </c>
      <c r="G25" s="60">
        <v>0.0</v>
      </c>
      <c r="H25" s="71">
        <v>4.0</v>
      </c>
      <c r="I25" s="73">
        <f t="shared" si="5"/>
        <v>33</v>
      </c>
      <c r="J25" s="36" t="s">
        <v>219</v>
      </c>
    </row>
    <row r="26">
      <c r="A26" s="76" t="s">
        <v>216</v>
      </c>
      <c r="B26" s="76" t="s">
        <v>42</v>
      </c>
      <c r="C26" s="60">
        <v>14.0</v>
      </c>
      <c r="D26" s="60">
        <v>3.0</v>
      </c>
      <c r="E26" s="60">
        <v>1.0</v>
      </c>
      <c r="F26" s="60">
        <v>2.0</v>
      </c>
      <c r="G26" s="60">
        <v>0.0</v>
      </c>
      <c r="H26" s="71">
        <v>5.0</v>
      </c>
      <c r="I26" s="73">
        <f t="shared" si="5"/>
        <v>18.1</v>
      </c>
      <c r="J26" s="36" t="s">
        <v>219</v>
      </c>
    </row>
    <row r="27">
      <c r="A27" s="76" t="s">
        <v>216</v>
      </c>
      <c r="B27" s="36" t="s">
        <v>198</v>
      </c>
      <c r="C27" s="60">
        <v>9.0</v>
      </c>
      <c r="D27" s="60">
        <v>6.0</v>
      </c>
      <c r="E27" s="60">
        <v>4.0</v>
      </c>
      <c r="F27" s="60">
        <v>1.0</v>
      </c>
      <c r="G27" s="60">
        <v>0.0</v>
      </c>
      <c r="H27" s="71">
        <v>2.0</v>
      </c>
      <c r="I27" s="73">
        <f t="shared" si="5"/>
        <v>22.2</v>
      </c>
      <c r="J27" s="36" t="s">
        <v>219</v>
      </c>
    </row>
    <row r="28">
      <c r="A28" s="76" t="s">
        <v>216</v>
      </c>
      <c r="B28" s="76" t="s">
        <v>52</v>
      </c>
      <c r="C28" s="60">
        <v>16.0</v>
      </c>
      <c r="D28" s="60">
        <v>6.0</v>
      </c>
      <c r="E28" s="60">
        <v>1.0</v>
      </c>
      <c r="F28" s="60">
        <v>0.0</v>
      </c>
      <c r="G28" s="60">
        <v>1.0</v>
      </c>
      <c r="H28" s="71">
        <v>2.0</v>
      </c>
      <c r="I28" s="73">
        <f t="shared" si="5"/>
        <v>24.7</v>
      </c>
      <c r="J28" s="36" t="s">
        <v>219</v>
      </c>
    </row>
    <row r="29">
      <c r="A29" s="96"/>
      <c r="B29" s="108" t="s">
        <v>217</v>
      </c>
      <c r="C29" s="109">
        <f>SUM(C24:C28)</f>
        <v>82</v>
      </c>
      <c r="D29" s="109">
        <f>SUM(D24:D28)*1.2</f>
        <v>37.2</v>
      </c>
      <c r="E29" s="109">
        <f>SUM(E24:E28)*1.5</f>
        <v>21</v>
      </c>
      <c r="F29" s="109">
        <f t="shared" ref="F29:G29" si="6">SUM(F24:F28)*2</f>
        <v>10</v>
      </c>
      <c r="G29" s="109">
        <f t="shared" si="6"/>
        <v>2</v>
      </c>
      <c r="H29" s="109">
        <f>SUM(H24:H28) *-1</f>
        <v>-14</v>
      </c>
      <c r="I29" s="110">
        <f>SUM(C29:H29)</f>
        <v>138.2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153.3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 t="s">
        <v>41</v>
      </c>
      <c r="C33" s="60">
        <v>17.0</v>
      </c>
      <c r="D33" s="60">
        <v>4.0</v>
      </c>
      <c r="E33" s="60">
        <v>4.0</v>
      </c>
      <c r="F33" s="60">
        <v>2.0</v>
      </c>
      <c r="G33" s="60">
        <v>0.0</v>
      </c>
      <c r="H33" s="71">
        <v>4.0</v>
      </c>
      <c r="I33" s="73">
        <f t="shared" ref="I33:I37" si="7">sum(C33+1.2*D33+1.5*E33+2*F33+2*G33)-H33</f>
        <v>27.8</v>
      </c>
      <c r="J33" s="36" t="s">
        <v>219</v>
      </c>
    </row>
    <row r="34">
      <c r="A34" s="76" t="s">
        <v>215</v>
      </c>
      <c r="B34" s="36" t="s">
        <v>109</v>
      </c>
      <c r="C34" s="60">
        <v>36.0</v>
      </c>
      <c r="D34" s="60">
        <v>6.0</v>
      </c>
      <c r="E34" s="60">
        <v>4.0</v>
      </c>
      <c r="F34" s="60">
        <v>2.0</v>
      </c>
      <c r="G34" s="60">
        <v>3.0</v>
      </c>
      <c r="H34" s="71">
        <v>2.0</v>
      </c>
      <c r="I34" s="73">
        <f t="shared" si="7"/>
        <v>57.2</v>
      </c>
      <c r="J34" s="36" t="s">
        <v>219</v>
      </c>
    </row>
    <row r="35">
      <c r="A35" s="76" t="s">
        <v>216</v>
      </c>
      <c r="B35" s="36" t="s">
        <v>39</v>
      </c>
      <c r="C35" s="60">
        <v>15.0</v>
      </c>
      <c r="D35" s="60">
        <v>2.0</v>
      </c>
      <c r="E35" s="60">
        <v>1.0</v>
      </c>
      <c r="F35" s="60">
        <v>0.0</v>
      </c>
      <c r="G35" s="60">
        <v>0.0</v>
      </c>
      <c r="H35" s="71">
        <v>3.0</v>
      </c>
      <c r="I35" s="73">
        <f t="shared" si="7"/>
        <v>15.9</v>
      </c>
      <c r="J35" s="36" t="s">
        <v>219</v>
      </c>
    </row>
    <row r="36">
      <c r="A36" s="76" t="s">
        <v>216</v>
      </c>
      <c r="B36" s="76" t="s">
        <v>54</v>
      </c>
      <c r="C36" s="60">
        <v>18.0</v>
      </c>
      <c r="D36" s="60">
        <v>7.0</v>
      </c>
      <c r="E36" s="60">
        <v>6.0</v>
      </c>
      <c r="F36" s="60">
        <v>1.0</v>
      </c>
      <c r="G36" s="60">
        <v>0.0</v>
      </c>
      <c r="H36" s="71">
        <v>2.0</v>
      </c>
      <c r="I36" s="73">
        <f t="shared" si="7"/>
        <v>35.4</v>
      </c>
      <c r="J36" s="36" t="s">
        <v>219</v>
      </c>
    </row>
    <row r="37">
      <c r="A37" s="76" t="s">
        <v>216</v>
      </c>
      <c r="B37" s="70" t="s">
        <v>134</v>
      </c>
      <c r="C37" s="60">
        <v>9.0</v>
      </c>
      <c r="D37" s="60">
        <v>5.0</v>
      </c>
      <c r="E37" s="60">
        <v>2.0</v>
      </c>
      <c r="F37" s="60">
        <v>0.0</v>
      </c>
      <c r="G37" s="60">
        <v>0.0</v>
      </c>
      <c r="H37" s="71">
        <v>1.0</v>
      </c>
      <c r="I37" s="73">
        <f t="shared" si="7"/>
        <v>17</v>
      </c>
      <c r="J37" s="36" t="s">
        <v>219</v>
      </c>
    </row>
    <row r="38">
      <c r="A38" s="96"/>
      <c r="B38" s="108" t="s">
        <v>217</v>
      </c>
      <c r="C38" s="109">
        <f>SUM(C33:C37)</f>
        <v>95</v>
      </c>
      <c r="D38" s="109">
        <f>SUM(D33:D37)*1.2</f>
        <v>28.8</v>
      </c>
      <c r="E38" s="109">
        <f>SUM(E33:E37)*1.5</f>
        <v>25.5</v>
      </c>
      <c r="F38" s="109">
        <f t="shared" ref="F38:G38" si="8">SUM(F33:F37)*2</f>
        <v>10</v>
      </c>
      <c r="G38" s="109">
        <f t="shared" si="8"/>
        <v>6</v>
      </c>
      <c r="H38" s="109">
        <f>SUM(H33:H37) *-1</f>
        <v>-12</v>
      </c>
      <c r="I38" s="110">
        <f>SUM(C38:H38)</f>
        <v>153.3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111">
        <v>46130.0</v>
      </c>
      <c r="C1" s="94" t="s">
        <v>202</v>
      </c>
      <c r="D1" s="93" t="b">
        <v>0</v>
      </c>
      <c r="E1" s="94" t="s">
        <v>203</v>
      </c>
      <c r="F1" s="112">
        <v>46131.23720239583</v>
      </c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111">
        <v>46130.0</v>
      </c>
      <c r="C2" s="94" t="s">
        <v>205</v>
      </c>
      <c r="D2" s="93" t="b">
        <v>0</v>
      </c>
      <c r="E2" s="94" t="s">
        <v>4</v>
      </c>
      <c r="F2" s="93" t="s">
        <v>390</v>
      </c>
      <c r="G2" s="96"/>
      <c r="H2" s="96"/>
      <c r="I2" s="96"/>
      <c r="K2" s="34" t="s">
        <v>10</v>
      </c>
      <c r="L2" s="113">
        <v>46147.0</v>
      </c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113">
        <v>46147.0</v>
      </c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166.9</v>
      </c>
      <c r="K4" s="34" t="s">
        <v>12</v>
      </c>
      <c r="L4" s="113">
        <v>46147.0</v>
      </c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113">
        <v>46147.0</v>
      </c>
      <c r="M5" s="34" t="s">
        <v>206</v>
      </c>
    </row>
    <row r="6">
      <c r="A6" s="76" t="s">
        <v>215</v>
      </c>
      <c r="B6" s="36" t="s">
        <v>90</v>
      </c>
      <c r="C6" s="60">
        <v>22.0</v>
      </c>
      <c r="D6" s="60">
        <v>2.0</v>
      </c>
      <c r="E6" s="60">
        <v>10.0</v>
      </c>
      <c r="F6" s="60">
        <v>2.0</v>
      </c>
      <c r="G6" s="60">
        <v>0.0</v>
      </c>
      <c r="H6" s="71">
        <v>4.0</v>
      </c>
      <c r="I6" s="72">
        <f t="shared" ref="I6:I10" si="1">sum(C6+1.2*D6+1.5*E6+2*F6+2*G6)-H6</f>
        <v>39.4</v>
      </c>
      <c r="J6" s="36" t="s">
        <v>219</v>
      </c>
    </row>
    <row r="7">
      <c r="A7" s="76" t="s">
        <v>215</v>
      </c>
      <c r="B7" s="76" t="s">
        <v>72</v>
      </c>
      <c r="C7" s="60">
        <v>30.0</v>
      </c>
      <c r="D7" s="60">
        <v>5.0</v>
      </c>
      <c r="E7" s="60">
        <v>7.0</v>
      </c>
      <c r="F7" s="60">
        <v>0.0</v>
      </c>
      <c r="G7" s="60">
        <v>0.0</v>
      </c>
      <c r="H7" s="71">
        <v>2.0</v>
      </c>
      <c r="I7" s="72">
        <f t="shared" si="1"/>
        <v>44.5</v>
      </c>
      <c r="J7" s="36" t="s">
        <v>219</v>
      </c>
    </row>
    <row r="8">
      <c r="A8" s="76" t="s">
        <v>216</v>
      </c>
      <c r="B8" s="70" t="s">
        <v>176</v>
      </c>
      <c r="C8" s="60">
        <v>23.0</v>
      </c>
      <c r="D8" s="60">
        <v>7.0</v>
      </c>
      <c r="E8" s="60">
        <v>3.0</v>
      </c>
      <c r="F8" s="60">
        <v>0.0</v>
      </c>
      <c r="G8" s="60">
        <v>0.0</v>
      </c>
      <c r="H8" s="71">
        <v>1.0</v>
      </c>
      <c r="I8" s="72">
        <f t="shared" si="1"/>
        <v>34.9</v>
      </c>
      <c r="J8" s="36" t="s">
        <v>219</v>
      </c>
    </row>
    <row r="9">
      <c r="A9" s="76" t="s">
        <v>216</v>
      </c>
      <c r="B9" s="76" t="s">
        <v>180</v>
      </c>
      <c r="C9" s="60">
        <v>21.0</v>
      </c>
      <c r="D9" s="60">
        <v>1.0</v>
      </c>
      <c r="E9" s="60">
        <v>7.0</v>
      </c>
      <c r="F9" s="60">
        <v>0.0</v>
      </c>
      <c r="G9" s="60">
        <v>0.0</v>
      </c>
      <c r="H9" s="71">
        <v>5.0</v>
      </c>
      <c r="I9" s="72">
        <f t="shared" si="1"/>
        <v>27.7</v>
      </c>
      <c r="J9" s="36" t="s">
        <v>219</v>
      </c>
    </row>
    <row r="10">
      <c r="A10" s="76" t="s">
        <v>216</v>
      </c>
      <c r="B10" s="36" t="s">
        <v>105</v>
      </c>
      <c r="C10" s="60">
        <v>10.0</v>
      </c>
      <c r="D10" s="60">
        <v>7.0</v>
      </c>
      <c r="E10" s="60">
        <v>0.0</v>
      </c>
      <c r="F10" s="60">
        <v>1.0</v>
      </c>
      <c r="G10" s="60">
        <v>0.0</v>
      </c>
      <c r="H10" s="71">
        <v>0.0</v>
      </c>
      <c r="I10" s="72">
        <f t="shared" si="1"/>
        <v>20.4</v>
      </c>
      <c r="J10" s="36" t="s">
        <v>219</v>
      </c>
    </row>
    <row r="11">
      <c r="A11" s="96"/>
      <c r="B11" s="102" t="s">
        <v>217</v>
      </c>
      <c r="C11" s="103">
        <f>SUM(C6:C10)</f>
        <v>106</v>
      </c>
      <c r="D11" s="103">
        <f>SUM(D6:D10)*1.2</f>
        <v>26.4</v>
      </c>
      <c r="E11" s="103">
        <f>SUM(E6:E10)*1.5</f>
        <v>40.5</v>
      </c>
      <c r="F11" s="103">
        <f t="shared" ref="F11:G11" si="2">SUM(F6:F10)*2</f>
        <v>6</v>
      </c>
      <c r="G11" s="103">
        <f t="shared" si="2"/>
        <v>0</v>
      </c>
      <c r="H11" s="104">
        <f>SUM(H6:H10) *-1</f>
        <v>-12</v>
      </c>
      <c r="I11" s="105">
        <f>SUM(C11:H11)</f>
        <v>166.9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200.5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 t="s">
        <v>84</v>
      </c>
      <c r="C15" s="60">
        <v>28.0</v>
      </c>
      <c r="D15" s="60">
        <v>5.0</v>
      </c>
      <c r="E15" s="60">
        <v>7.0</v>
      </c>
      <c r="F15" s="60">
        <v>1.0</v>
      </c>
      <c r="G15" s="60">
        <v>0.0</v>
      </c>
      <c r="H15" s="71">
        <v>2.0</v>
      </c>
      <c r="I15" s="73">
        <f t="shared" ref="I15:I19" si="3">sum(C15+1.2*D15+1.5*E15+2*F15+2*G15)-H15</f>
        <v>44.5</v>
      </c>
      <c r="J15" s="36" t="s">
        <v>219</v>
      </c>
    </row>
    <row r="16">
      <c r="A16" s="76" t="s">
        <v>215</v>
      </c>
      <c r="B16" s="76" t="s">
        <v>178</v>
      </c>
      <c r="C16" s="60">
        <v>24.0</v>
      </c>
      <c r="D16" s="60">
        <v>2.0</v>
      </c>
      <c r="E16" s="60">
        <v>3.0</v>
      </c>
      <c r="F16" s="60">
        <v>1.0</v>
      </c>
      <c r="G16" s="60">
        <v>0.0</v>
      </c>
      <c r="H16" s="71">
        <v>4.0</v>
      </c>
      <c r="I16" s="73">
        <f t="shared" si="3"/>
        <v>28.9</v>
      </c>
      <c r="J16" s="36" t="s">
        <v>219</v>
      </c>
    </row>
    <row r="17">
      <c r="A17" s="76" t="s">
        <v>216</v>
      </c>
      <c r="B17" s="76" t="s">
        <v>66</v>
      </c>
      <c r="C17" s="60">
        <v>25.0</v>
      </c>
      <c r="D17" s="60">
        <v>13.0</v>
      </c>
      <c r="E17" s="60">
        <v>11.0</v>
      </c>
      <c r="F17" s="60">
        <v>1.0</v>
      </c>
      <c r="G17" s="60">
        <v>0.0</v>
      </c>
      <c r="H17" s="71">
        <v>5.0</v>
      </c>
      <c r="I17" s="73">
        <f t="shared" si="3"/>
        <v>54.1</v>
      </c>
      <c r="J17" s="36" t="s">
        <v>219</v>
      </c>
    </row>
    <row r="18">
      <c r="A18" s="76" t="s">
        <v>216</v>
      </c>
      <c r="B18" s="76" t="s">
        <v>70</v>
      </c>
      <c r="C18" s="60">
        <v>25.0</v>
      </c>
      <c r="D18" s="60">
        <v>8.0</v>
      </c>
      <c r="E18" s="60">
        <v>4.0</v>
      </c>
      <c r="F18" s="60">
        <v>1.0</v>
      </c>
      <c r="G18" s="60">
        <v>3.0</v>
      </c>
      <c r="H18" s="71">
        <v>5.0</v>
      </c>
      <c r="I18" s="73">
        <f t="shared" si="3"/>
        <v>43.6</v>
      </c>
      <c r="J18" s="36" t="s">
        <v>219</v>
      </c>
    </row>
    <row r="19">
      <c r="A19" s="76" t="s">
        <v>216</v>
      </c>
      <c r="B19" s="70" t="s">
        <v>91</v>
      </c>
      <c r="C19" s="60">
        <v>17.0</v>
      </c>
      <c r="D19" s="60">
        <v>7.0</v>
      </c>
      <c r="E19" s="60">
        <v>4.0</v>
      </c>
      <c r="F19" s="60">
        <v>0.0</v>
      </c>
      <c r="G19" s="60">
        <v>0.0</v>
      </c>
      <c r="H19" s="71">
        <v>2.0</v>
      </c>
      <c r="I19" s="73">
        <f t="shared" si="3"/>
        <v>29.4</v>
      </c>
      <c r="J19" s="36" t="s">
        <v>219</v>
      </c>
    </row>
    <row r="20">
      <c r="A20" s="96"/>
      <c r="B20" s="102" t="s">
        <v>217</v>
      </c>
      <c r="C20" s="103">
        <f>SUM(C15:C19)</f>
        <v>119</v>
      </c>
      <c r="D20" s="103">
        <f>SUM(D15:D19)*1.2</f>
        <v>42</v>
      </c>
      <c r="E20" s="103">
        <f>SUM(E15:E19)*1.5</f>
        <v>43.5</v>
      </c>
      <c r="F20" s="103">
        <f t="shared" ref="F20:G20" si="4">SUM(F15:F19)*2</f>
        <v>8</v>
      </c>
      <c r="G20" s="103">
        <f t="shared" si="4"/>
        <v>6</v>
      </c>
      <c r="H20" s="104">
        <f>SUM(H15:H19) *-1</f>
        <v>-18</v>
      </c>
      <c r="I20" s="105">
        <f>SUM(C20:H20)</f>
        <v>200.5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178.6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36" t="s">
        <v>130</v>
      </c>
      <c r="C24" s="60">
        <v>17.0</v>
      </c>
      <c r="D24" s="60">
        <v>1.0</v>
      </c>
      <c r="E24" s="60">
        <v>4.0</v>
      </c>
      <c r="F24" s="60">
        <v>0.0</v>
      </c>
      <c r="G24" s="60">
        <v>1.0</v>
      </c>
      <c r="H24" s="71">
        <v>1.0</v>
      </c>
      <c r="I24" s="73">
        <f t="shared" ref="I24:I28" si="5">sum(C24+1.2*D24+1.5*E24+2*F24+2*G24)-H24</f>
        <v>25.2</v>
      </c>
      <c r="J24" s="36" t="s">
        <v>219</v>
      </c>
    </row>
    <row r="25">
      <c r="A25" s="76" t="s">
        <v>215</v>
      </c>
      <c r="B25" s="36" t="s">
        <v>155</v>
      </c>
      <c r="C25" s="60">
        <v>26.0</v>
      </c>
      <c r="D25" s="60">
        <v>4.0</v>
      </c>
      <c r="E25" s="60">
        <v>1.0</v>
      </c>
      <c r="F25" s="60">
        <v>0.0</v>
      </c>
      <c r="G25" s="60">
        <v>1.0</v>
      </c>
      <c r="H25" s="71">
        <v>5.0</v>
      </c>
      <c r="I25" s="73">
        <f t="shared" si="5"/>
        <v>29.3</v>
      </c>
      <c r="J25" s="36" t="s">
        <v>219</v>
      </c>
    </row>
    <row r="26">
      <c r="A26" s="76" t="s">
        <v>216</v>
      </c>
      <c r="B26" s="76" t="s">
        <v>71</v>
      </c>
      <c r="C26" s="60">
        <v>19.0</v>
      </c>
      <c r="D26" s="60">
        <v>8.0</v>
      </c>
      <c r="E26" s="60">
        <v>13.0</v>
      </c>
      <c r="F26" s="60">
        <v>2.0</v>
      </c>
      <c r="G26" s="60">
        <v>1.0</v>
      </c>
      <c r="H26" s="71">
        <v>2.0</v>
      </c>
      <c r="I26" s="73">
        <f t="shared" si="5"/>
        <v>52.1</v>
      </c>
      <c r="J26" s="36" t="s">
        <v>219</v>
      </c>
    </row>
    <row r="27">
      <c r="A27" s="76" t="s">
        <v>216</v>
      </c>
      <c r="B27" s="36" t="s">
        <v>136</v>
      </c>
      <c r="C27" s="60">
        <v>16.0</v>
      </c>
      <c r="D27" s="60">
        <v>12.0</v>
      </c>
      <c r="E27" s="60">
        <v>0.0</v>
      </c>
      <c r="F27" s="60">
        <v>2.0</v>
      </c>
      <c r="G27" s="60">
        <v>0.0</v>
      </c>
      <c r="H27" s="71">
        <v>1.0</v>
      </c>
      <c r="I27" s="73">
        <f t="shared" si="5"/>
        <v>33.4</v>
      </c>
      <c r="J27" s="36" t="s">
        <v>219</v>
      </c>
    </row>
    <row r="28">
      <c r="A28" s="76" t="s">
        <v>216</v>
      </c>
      <c r="B28" s="76" t="s">
        <v>65</v>
      </c>
      <c r="C28" s="60">
        <v>19.0</v>
      </c>
      <c r="D28" s="60">
        <v>8.0</v>
      </c>
      <c r="E28" s="60">
        <v>6.0</v>
      </c>
      <c r="F28" s="60">
        <v>1.0</v>
      </c>
      <c r="G28" s="60">
        <v>1.0</v>
      </c>
      <c r="H28" s="71">
        <v>3.0</v>
      </c>
      <c r="I28" s="73">
        <f t="shared" si="5"/>
        <v>38.6</v>
      </c>
      <c r="J28" s="36" t="s">
        <v>219</v>
      </c>
    </row>
    <row r="29">
      <c r="A29" s="96"/>
      <c r="B29" s="108" t="s">
        <v>217</v>
      </c>
      <c r="C29" s="109">
        <f>SUM(C24:C28)</f>
        <v>97</v>
      </c>
      <c r="D29" s="109">
        <f>SUM(D24:D28)*1.2</f>
        <v>39.6</v>
      </c>
      <c r="E29" s="109">
        <f>SUM(E24:E28)*1.5</f>
        <v>36</v>
      </c>
      <c r="F29" s="109">
        <f t="shared" ref="F29:G29" si="6">SUM(F24:F28)*2</f>
        <v>10</v>
      </c>
      <c r="G29" s="109">
        <f t="shared" si="6"/>
        <v>8</v>
      </c>
      <c r="H29" s="109">
        <f>SUM(H24:H28) *-1</f>
        <v>-12</v>
      </c>
      <c r="I29" s="110">
        <f>SUM(C29:H29)</f>
        <v>178.6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182.6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 t="s">
        <v>78</v>
      </c>
      <c r="C33" s="60">
        <v>22.0</v>
      </c>
      <c r="D33" s="60">
        <v>9.0</v>
      </c>
      <c r="E33" s="60">
        <v>7.0</v>
      </c>
      <c r="F33" s="60">
        <v>0.0</v>
      </c>
      <c r="G33" s="60">
        <v>3.0</v>
      </c>
      <c r="H33" s="71">
        <v>3.0</v>
      </c>
      <c r="I33" s="73">
        <f t="shared" ref="I33:I37" si="7">sum(C33+1.2*D33+1.5*E33+2*F33+2*G33)-H33</f>
        <v>46.3</v>
      </c>
      <c r="J33" s="36" t="s">
        <v>219</v>
      </c>
    </row>
    <row r="34">
      <c r="A34" s="76" t="s">
        <v>215</v>
      </c>
      <c r="B34" s="36" t="s">
        <v>87</v>
      </c>
      <c r="C34" s="60">
        <v>32.0</v>
      </c>
      <c r="D34" s="60">
        <v>3.0</v>
      </c>
      <c r="E34" s="60">
        <v>4.0</v>
      </c>
      <c r="F34" s="60">
        <v>2.0</v>
      </c>
      <c r="G34" s="60">
        <v>0.0</v>
      </c>
      <c r="H34" s="71">
        <v>4.0</v>
      </c>
      <c r="I34" s="73">
        <f t="shared" si="7"/>
        <v>41.6</v>
      </c>
      <c r="J34" s="36" t="s">
        <v>219</v>
      </c>
    </row>
    <row r="35">
      <c r="A35" s="76" t="s">
        <v>216</v>
      </c>
      <c r="B35" s="36" t="s">
        <v>88</v>
      </c>
      <c r="C35" s="60">
        <v>16.0</v>
      </c>
      <c r="D35" s="60">
        <v>7.0</v>
      </c>
      <c r="E35" s="60">
        <v>2.0</v>
      </c>
      <c r="F35" s="60">
        <v>0.0</v>
      </c>
      <c r="G35" s="60">
        <v>0.0</v>
      </c>
      <c r="H35" s="71">
        <v>1.0</v>
      </c>
      <c r="I35" s="73">
        <f t="shared" si="7"/>
        <v>26.4</v>
      </c>
      <c r="J35" s="36" t="s">
        <v>219</v>
      </c>
    </row>
    <row r="36">
      <c r="A36" s="76" t="s">
        <v>216</v>
      </c>
      <c r="B36" s="76" t="s">
        <v>200</v>
      </c>
      <c r="C36" s="60">
        <v>17.0</v>
      </c>
      <c r="D36" s="60">
        <v>2.0</v>
      </c>
      <c r="E36" s="60">
        <v>4.0</v>
      </c>
      <c r="F36" s="60">
        <v>0.0</v>
      </c>
      <c r="G36" s="60">
        <v>1.0</v>
      </c>
      <c r="H36" s="71">
        <v>1.0</v>
      </c>
      <c r="I36" s="73">
        <f t="shared" si="7"/>
        <v>26.4</v>
      </c>
      <c r="J36" s="36" t="s">
        <v>219</v>
      </c>
    </row>
    <row r="37">
      <c r="A37" s="76" t="s">
        <v>216</v>
      </c>
      <c r="B37" s="70" t="s">
        <v>77</v>
      </c>
      <c r="C37" s="60">
        <v>17.0</v>
      </c>
      <c r="D37" s="60">
        <v>7.0</v>
      </c>
      <c r="E37" s="60">
        <v>7.0</v>
      </c>
      <c r="F37" s="60">
        <v>3.0</v>
      </c>
      <c r="G37" s="60">
        <v>1.0</v>
      </c>
      <c r="H37" s="71">
        <v>2.0</v>
      </c>
      <c r="I37" s="73">
        <f t="shared" si="7"/>
        <v>41.9</v>
      </c>
      <c r="J37" s="36" t="s">
        <v>219</v>
      </c>
    </row>
    <row r="38">
      <c r="A38" s="96"/>
      <c r="B38" s="108" t="s">
        <v>217</v>
      </c>
      <c r="C38" s="109">
        <f>SUM(C33:C37)</f>
        <v>104</v>
      </c>
      <c r="D38" s="109">
        <f>SUM(D33:D37)*1.2</f>
        <v>33.6</v>
      </c>
      <c r="E38" s="109">
        <f>SUM(E33:E37)*1.5</f>
        <v>36</v>
      </c>
      <c r="F38" s="109">
        <f t="shared" ref="F38:G38" si="8">SUM(F33:F37)*2</f>
        <v>10</v>
      </c>
      <c r="G38" s="109">
        <f t="shared" si="8"/>
        <v>10</v>
      </c>
      <c r="H38" s="109">
        <f>SUM(H33:H37) *-1</f>
        <v>-11</v>
      </c>
      <c r="I38" s="110">
        <f>SUM(C38:H38)</f>
        <v>182.6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2" t="s">
        <v>201</v>
      </c>
      <c r="B1" s="111">
        <v>46132.0</v>
      </c>
      <c r="C1" s="94" t="s">
        <v>202</v>
      </c>
      <c r="D1" s="93" t="b">
        <v>0</v>
      </c>
      <c r="E1" s="94" t="s">
        <v>203</v>
      </c>
      <c r="F1" s="112">
        <v>46133.25404918981</v>
      </c>
      <c r="G1" s="96"/>
      <c r="H1" s="96"/>
      <c r="I1" s="96"/>
      <c r="K1" s="34" t="s">
        <v>8</v>
      </c>
      <c r="L1" s="97"/>
      <c r="M1" s="34" t="s">
        <v>9</v>
      </c>
    </row>
    <row r="2">
      <c r="A2" s="92" t="s">
        <v>204</v>
      </c>
      <c r="B2" s="111">
        <v>46132.0</v>
      </c>
      <c r="C2" s="94" t="s">
        <v>205</v>
      </c>
      <c r="D2" s="93" t="b">
        <v>0</v>
      </c>
      <c r="E2" s="94" t="s">
        <v>4</v>
      </c>
      <c r="F2" s="93" t="s">
        <v>392</v>
      </c>
      <c r="G2" s="96"/>
      <c r="H2" s="96"/>
      <c r="I2" s="96"/>
      <c r="K2" s="34" t="s">
        <v>10</v>
      </c>
      <c r="L2" s="113">
        <v>46147.0</v>
      </c>
      <c r="M2" s="34" t="s">
        <v>206</v>
      </c>
    </row>
    <row r="3">
      <c r="A3" s="98"/>
      <c r="B3" s="96"/>
      <c r="E3" s="96"/>
      <c r="F3" s="96"/>
      <c r="G3" s="96"/>
      <c r="H3" s="96"/>
      <c r="I3" s="96"/>
      <c r="K3" s="34" t="s">
        <v>11</v>
      </c>
      <c r="L3" s="113">
        <v>46147.0</v>
      </c>
      <c r="M3" s="34" t="s">
        <v>206</v>
      </c>
    </row>
    <row r="4">
      <c r="A4" s="98" t="s">
        <v>10</v>
      </c>
      <c r="B4" s="96"/>
      <c r="C4" s="96"/>
      <c r="D4" s="96"/>
      <c r="E4" s="96"/>
      <c r="F4" s="96"/>
      <c r="G4" s="96"/>
      <c r="H4" s="96"/>
      <c r="I4" s="99">
        <f>I11</f>
        <v>173.5</v>
      </c>
      <c r="K4" s="34" t="s">
        <v>12</v>
      </c>
      <c r="L4" s="34" t="s">
        <v>206</v>
      </c>
      <c r="M4" s="34" t="s">
        <v>206</v>
      </c>
    </row>
    <row r="5">
      <c r="A5" s="96" t="s">
        <v>207</v>
      </c>
      <c r="B5" s="96" t="s">
        <v>6</v>
      </c>
      <c r="C5" s="76" t="s">
        <v>208</v>
      </c>
      <c r="D5" s="76" t="s">
        <v>209</v>
      </c>
      <c r="E5" s="76" t="s">
        <v>210</v>
      </c>
      <c r="F5" s="76" t="s">
        <v>211</v>
      </c>
      <c r="G5" s="76" t="s">
        <v>212</v>
      </c>
      <c r="H5" s="100" t="s">
        <v>213</v>
      </c>
      <c r="I5" s="101" t="s">
        <v>214</v>
      </c>
      <c r="K5" s="34" t="s">
        <v>13</v>
      </c>
      <c r="L5" s="113">
        <v>46147.0</v>
      </c>
      <c r="M5" s="34" t="s">
        <v>206</v>
      </c>
    </row>
    <row r="6">
      <c r="A6" s="76" t="s">
        <v>215</v>
      </c>
      <c r="B6" s="36" t="s">
        <v>90</v>
      </c>
      <c r="C6" s="60">
        <v>28.0</v>
      </c>
      <c r="D6" s="60">
        <v>5.0</v>
      </c>
      <c r="E6" s="60">
        <v>4.0</v>
      </c>
      <c r="F6" s="60">
        <v>5.0</v>
      </c>
      <c r="G6" s="60">
        <v>1.0</v>
      </c>
      <c r="H6" s="71">
        <v>5.0</v>
      </c>
      <c r="I6" s="72">
        <f t="shared" ref="I6:I10" si="1">sum(C6+1.2*D6+1.5*E6+2*F6+2*G6)-H6</f>
        <v>47</v>
      </c>
      <c r="J6" s="36" t="s">
        <v>219</v>
      </c>
    </row>
    <row r="7">
      <c r="A7" s="76" t="s">
        <v>215</v>
      </c>
      <c r="B7" s="76" t="s">
        <v>130</v>
      </c>
      <c r="C7" s="60">
        <v>9.0</v>
      </c>
      <c r="D7" s="60">
        <v>5.0</v>
      </c>
      <c r="E7" s="60">
        <v>6.0</v>
      </c>
      <c r="F7" s="60">
        <v>0.0</v>
      </c>
      <c r="G7" s="60">
        <v>3.0</v>
      </c>
      <c r="H7" s="71">
        <v>2.0</v>
      </c>
      <c r="I7" s="72">
        <f t="shared" si="1"/>
        <v>28</v>
      </c>
      <c r="J7" s="36" t="s">
        <v>219</v>
      </c>
    </row>
    <row r="8">
      <c r="A8" s="76" t="s">
        <v>216</v>
      </c>
      <c r="B8" s="70" t="s">
        <v>66</v>
      </c>
      <c r="C8" s="60">
        <v>24.0</v>
      </c>
      <c r="D8" s="60">
        <v>15.0</v>
      </c>
      <c r="E8" s="60">
        <v>8.0</v>
      </c>
      <c r="F8" s="60">
        <v>0.0</v>
      </c>
      <c r="G8" s="60">
        <v>1.0</v>
      </c>
      <c r="H8" s="71">
        <v>3.0</v>
      </c>
      <c r="I8" s="72">
        <f t="shared" si="1"/>
        <v>53</v>
      </c>
      <c r="J8" s="36" t="s">
        <v>219</v>
      </c>
    </row>
    <row r="9">
      <c r="A9" s="76" t="s">
        <v>216</v>
      </c>
      <c r="B9" s="76" t="s">
        <v>70</v>
      </c>
      <c r="C9" s="60">
        <v>18.0</v>
      </c>
      <c r="D9" s="60">
        <v>8.0</v>
      </c>
      <c r="E9" s="60">
        <v>2.0</v>
      </c>
      <c r="F9" s="60">
        <v>0.0</v>
      </c>
      <c r="G9" s="60">
        <v>2.0</v>
      </c>
      <c r="H9" s="71">
        <v>3.0</v>
      </c>
      <c r="I9" s="72">
        <f t="shared" si="1"/>
        <v>31.6</v>
      </c>
      <c r="J9" s="36" t="s">
        <v>219</v>
      </c>
    </row>
    <row r="10">
      <c r="A10" s="76" t="s">
        <v>216</v>
      </c>
      <c r="B10" s="36" t="s">
        <v>81</v>
      </c>
      <c r="C10" s="60">
        <v>2.0</v>
      </c>
      <c r="D10" s="60">
        <v>7.0</v>
      </c>
      <c r="E10" s="60">
        <v>1.0</v>
      </c>
      <c r="F10" s="60">
        <v>2.0</v>
      </c>
      <c r="G10" s="60">
        <v>0.0</v>
      </c>
      <c r="H10" s="71">
        <v>2.0</v>
      </c>
      <c r="I10" s="72">
        <f t="shared" si="1"/>
        <v>13.9</v>
      </c>
      <c r="J10" s="36" t="s">
        <v>219</v>
      </c>
    </row>
    <row r="11">
      <c r="A11" s="96"/>
      <c r="B11" s="102" t="s">
        <v>217</v>
      </c>
      <c r="C11" s="103">
        <f>SUM(C6:C10)</f>
        <v>81</v>
      </c>
      <c r="D11" s="103">
        <f>SUM(D6:D10)*1.2</f>
        <v>48</v>
      </c>
      <c r="E11" s="103">
        <f>SUM(E6:E10)*1.5</f>
        <v>31.5</v>
      </c>
      <c r="F11" s="103">
        <f t="shared" ref="F11:G11" si="2">SUM(F6:F10)*2</f>
        <v>14</v>
      </c>
      <c r="G11" s="103">
        <f t="shared" si="2"/>
        <v>14</v>
      </c>
      <c r="H11" s="104">
        <f>SUM(H6:H10) *-1</f>
        <v>-15</v>
      </c>
      <c r="I11" s="105">
        <f>SUM(C11:H11)</f>
        <v>173.5</v>
      </c>
    </row>
    <row r="12">
      <c r="A12" s="106"/>
      <c r="B12" s="106"/>
      <c r="C12" s="106"/>
      <c r="D12" s="106"/>
      <c r="E12" s="106"/>
      <c r="F12" s="106"/>
      <c r="G12" s="106"/>
      <c r="H12" s="106"/>
      <c r="I12" s="106"/>
    </row>
    <row r="13">
      <c r="A13" s="98" t="s">
        <v>12</v>
      </c>
      <c r="B13" s="96"/>
      <c r="C13" s="96"/>
      <c r="D13" s="96"/>
      <c r="E13" s="96"/>
      <c r="F13" s="96"/>
      <c r="G13" s="96"/>
      <c r="H13" s="96"/>
      <c r="I13" s="99">
        <f>I20</f>
        <v>0</v>
      </c>
    </row>
    <row r="14">
      <c r="A14" s="96" t="s">
        <v>207</v>
      </c>
      <c r="B14" s="96" t="s">
        <v>6</v>
      </c>
      <c r="C14" s="76" t="s">
        <v>208</v>
      </c>
      <c r="D14" s="76" t="s">
        <v>209</v>
      </c>
      <c r="E14" s="76" t="s">
        <v>210</v>
      </c>
      <c r="F14" s="76" t="s">
        <v>211</v>
      </c>
      <c r="G14" s="76" t="s">
        <v>212</v>
      </c>
      <c r="H14" s="100" t="s">
        <v>213</v>
      </c>
      <c r="I14" s="107" t="s">
        <v>214</v>
      </c>
    </row>
    <row r="15">
      <c r="A15" s="76" t="s">
        <v>215</v>
      </c>
      <c r="B15" s="76"/>
      <c r="C15" s="60"/>
      <c r="D15" s="60"/>
      <c r="E15" s="60"/>
      <c r="F15" s="60"/>
      <c r="G15" s="60"/>
      <c r="H15" s="71"/>
      <c r="I15" s="73">
        <f t="shared" ref="I15:I19" si="3">sum(C15+1.2*D15+1.5*E15+2*F15+2*G15)-H15</f>
        <v>0</v>
      </c>
    </row>
    <row r="16">
      <c r="A16" s="76" t="s">
        <v>215</v>
      </c>
      <c r="B16" s="76"/>
      <c r="C16" s="60"/>
      <c r="D16" s="60"/>
      <c r="E16" s="60"/>
      <c r="F16" s="60"/>
      <c r="G16" s="60"/>
      <c r="H16" s="71"/>
      <c r="I16" s="73">
        <f t="shared" si="3"/>
        <v>0</v>
      </c>
    </row>
    <row r="17">
      <c r="A17" s="76" t="s">
        <v>216</v>
      </c>
      <c r="B17" s="76"/>
      <c r="C17" s="60"/>
      <c r="D17" s="60"/>
      <c r="E17" s="60"/>
      <c r="F17" s="60"/>
      <c r="G17" s="60"/>
      <c r="H17" s="71"/>
      <c r="I17" s="73">
        <f t="shared" si="3"/>
        <v>0</v>
      </c>
    </row>
    <row r="18">
      <c r="A18" s="76" t="s">
        <v>216</v>
      </c>
      <c r="B18" s="76"/>
      <c r="C18" s="60"/>
      <c r="D18" s="60"/>
      <c r="E18" s="60"/>
      <c r="F18" s="60"/>
      <c r="G18" s="60"/>
      <c r="H18" s="71"/>
      <c r="I18" s="73">
        <f t="shared" si="3"/>
        <v>0</v>
      </c>
    </row>
    <row r="19">
      <c r="A19" s="76" t="s">
        <v>216</v>
      </c>
      <c r="B19" s="70"/>
      <c r="C19" s="60"/>
      <c r="D19" s="60"/>
      <c r="E19" s="60"/>
      <c r="F19" s="60"/>
      <c r="G19" s="60"/>
      <c r="H19" s="71"/>
      <c r="I19" s="73">
        <f t="shared" si="3"/>
        <v>0</v>
      </c>
    </row>
    <row r="20">
      <c r="A20" s="96"/>
      <c r="B20" s="102" t="s">
        <v>217</v>
      </c>
      <c r="C20" s="103">
        <f>SUM(C15:C19)</f>
        <v>0</v>
      </c>
      <c r="D20" s="103">
        <f>SUM(D15:D19)*1.2</f>
        <v>0</v>
      </c>
      <c r="E20" s="103">
        <f>SUM(E15:E19)*1.5</f>
        <v>0</v>
      </c>
      <c r="F20" s="103">
        <f t="shared" ref="F20:G20" si="4">SUM(F15:F19)*2</f>
        <v>0</v>
      </c>
      <c r="G20" s="103">
        <f t="shared" si="4"/>
        <v>0</v>
      </c>
      <c r="H20" s="104">
        <f>SUM(H15:H19) *-1</f>
        <v>0</v>
      </c>
      <c r="I20" s="105">
        <f>SUM(C20:H20)</f>
        <v>0</v>
      </c>
    </row>
    <row r="21">
      <c r="A21" s="106"/>
      <c r="B21" s="106"/>
      <c r="C21" s="106"/>
      <c r="D21" s="106"/>
      <c r="E21" s="106"/>
      <c r="F21" s="106"/>
      <c r="G21" s="106"/>
      <c r="H21" s="106"/>
      <c r="I21" s="106"/>
    </row>
    <row r="22">
      <c r="A22" s="98" t="s">
        <v>13</v>
      </c>
      <c r="B22" s="96"/>
      <c r="C22" s="96"/>
      <c r="D22" s="96"/>
      <c r="E22" s="96"/>
      <c r="F22" s="96"/>
      <c r="G22" s="96"/>
      <c r="H22" s="96"/>
      <c r="I22" s="99">
        <f>I29</f>
        <v>180</v>
      </c>
    </row>
    <row r="23">
      <c r="A23" s="96" t="s">
        <v>207</v>
      </c>
      <c r="B23" s="96" t="s">
        <v>6</v>
      </c>
      <c r="C23" s="76" t="s">
        <v>208</v>
      </c>
      <c r="D23" s="76" t="s">
        <v>209</v>
      </c>
      <c r="E23" s="76" t="s">
        <v>210</v>
      </c>
      <c r="F23" s="76" t="s">
        <v>211</v>
      </c>
      <c r="G23" s="76" t="s">
        <v>212</v>
      </c>
      <c r="H23" s="100" t="s">
        <v>213</v>
      </c>
      <c r="I23" s="107" t="s">
        <v>214</v>
      </c>
    </row>
    <row r="24">
      <c r="A24" s="76" t="s">
        <v>215</v>
      </c>
      <c r="B24" s="36" t="s">
        <v>87</v>
      </c>
      <c r="C24" s="60">
        <v>30.0</v>
      </c>
      <c r="D24" s="60">
        <v>7.0</v>
      </c>
      <c r="E24" s="60">
        <v>5.0</v>
      </c>
      <c r="F24" s="60">
        <v>1.0</v>
      </c>
      <c r="G24" s="60">
        <v>0.0</v>
      </c>
      <c r="H24" s="71">
        <v>1.0</v>
      </c>
      <c r="I24" s="73">
        <f t="shared" ref="I24:I28" si="5">sum(C24+1.2*D24+1.5*E24+2*F24+2*G24)-H24</f>
        <v>46.9</v>
      </c>
      <c r="J24" s="36" t="s">
        <v>219</v>
      </c>
    </row>
    <row r="25">
      <c r="A25" s="76" t="s">
        <v>215</v>
      </c>
      <c r="B25" s="36" t="s">
        <v>72</v>
      </c>
      <c r="C25" s="60">
        <v>30.0</v>
      </c>
      <c r="D25" s="60">
        <v>7.0</v>
      </c>
      <c r="E25" s="60">
        <v>7.0</v>
      </c>
      <c r="F25" s="60">
        <v>1.0</v>
      </c>
      <c r="G25" s="60">
        <v>0.0</v>
      </c>
      <c r="H25" s="71">
        <v>4.0</v>
      </c>
      <c r="I25" s="73">
        <f t="shared" si="5"/>
        <v>46.9</v>
      </c>
      <c r="J25" s="36" t="s">
        <v>219</v>
      </c>
    </row>
    <row r="26">
      <c r="A26" s="76" t="s">
        <v>216</v>
      </c>
      <c r="B26" s="76" t="s">
        <v>176</v>
      </c>
      <c r="C26" s="60">
        <v>17.0</v>
      </c>
      <c r="D26" s="60">
        <v>8.0</v>
      </c>
      <c r="E26" s="60">
        <v>3.0</v>
      </c>
      <c r="F26" s="60">
        <v>1.0</v>
      </c>
      <c r="G26" s="60">
        <v>0.0</v>
      </c>
      <c r="H26" s="71">
        <v>3.0</v>
      </c>
      <c r="I26" s="73">
        <f t="shared" si="5"/>
        <v>30.1</v>
      </c>
      <c r="J26" s="36" t="s">
        <v>219</v>
      </c>
    </row>
    <row r="27">
      <c r="A27" s="76" t="s">
        <v>216</v>
      </c>
      <c r="B27" s="36" t="s">
        <v>88</v>
      </c>
      <c r="C27" s="60">
        <v>24.0</v>
      </c>
      <c r="D27" s="60">
        <v>9.0</v>
      </c>
      <c r="E27" s="60">
        <v>6.0</v>
      </c>
      <c r="F27" s="60">
        <v>0.0</v>
      </c>
      <c r="G27" s="60">
        <v>0.0</v>
      </c>
      <c r="H27" s="71">
        <v>1.0</v>
      </c>
      <c r="I27" s="73">
        <f t="shared" si="5"/>
        <v>42.8</v>
      </c>
      <c r="J27" s="36" t="s">
        <v>219</v>
      </c>
    </row>
    <row r="28">
      <c r="A28" s="76" t="s">
        <v>216</v>
      </c>
      <c r="B28" s="76" t="s">
        <v>200</v>
      </c>
      <c r="C28" s="60">
        <v>7.0</v>
      </c>
      <c r="D28" s="60">
        <v>4.0</v>
      </c>
      <c r="E28" s="60">
        <v>3.0</v>
      </c>
      <c r="F28" s="60">
        <v>1.0</v>
      </c>
      <c r="G28" s="60">
        <v>0.0</v>
      </c>
      <c r="H28" s="71">
        <v>5.0</v>
      </c>
      <c r="I28" s="73">
        <f t="shared" si="5"/>
        <v>13.3</v>
      </c>
      <c r="J28" s="36" t="s">
        <v>219</v>
      </c>
    </row>
    <row r="29">
      <c r="A29" s="96"/>
      <c r="B29" s="108" t="s">
        <v>217</v>
      </c>
      <c r="C29" s="109">
        <f>SUM(C24:C28)</f>
        <v>108</v>
      </c>
      <c r="D29" s="109">
        <f>SUM(D24:D28)*1.2</f>
        <v>42</v>
      </c>
      <c r="E29" s="109">
        <f>SUM(E24:E28)*1.5</f>
        <v>36</v>
      </c>
      <c r="F29" s="109">
        <f t="shared" ref="F29:G29" si="6">SUM(F24:F28)*2</f>
        <v>8</v>
      </c>
      <c r="G29" s="109">
        <f t="shared" si="6"/>
        <v>0</v>
      </c>
      <c r="H29" s="109">
        <f>SUM(H24:H28) *-1</f>
        <v>-14</v>
      </c>
      <c r="I29" s="110">
        <f>SUM(C29:H29)</f>
        <v>180</v>
      </c>
    </row>
    <row r="30">
      <c r="A30" s="106"/>
      <c r="B30" s="106"/>
      <c r="C30" s="106"/>
      <c r="D30" s="106"/>
      <c r="E30" s="106"/>
      <c r="F30" s="106"/>
      <c r="G30" s="106"/>
      <c r="H30" s="106"/>
      <c r="I30" s="106"/>
    </row>
    <row r="31">
      <c r="A31" s="98" t="s">
        <v>11</v>
      </c>
      <c r="B31" s="96"/>
      <c r="C31" s="96"/>
      <c r="D31" s="96"/>
      <c r="E31" s="96"/>
      <c r="F31" s="96"/>
      <c r="G31" s="96"/>
      <c r="H31" s="96"/>
      <c r="I31" s="99">
        <f>I38</f>
        <v>189.2</v>
      </c>
    </row>
    <row r="32">
      <c r="A32" s="96" t="s">
        <v>207</v>
      </c>
      <c r="B32" s="96" t="s">
        <v>6</v>
      </c>
      <c r="C32" s="76" t="s">
        <v>208</v>
      </c>
      <c r="D32" s="76" t="s">
        <v>209</v>
      </c>
      <c r="E32" s="76" t="s">
        <v>210</v>
      </c>
      <c r="F32" s="76" t="s">
        <v>211</v>
      </c>
      <c r="G32" s="76" t="s">
        <v>212</v>
      </c>
      <c r="H32" s="100" t="s">
        <v>213</v>
      </c>
      <c r="I32" s="107" t="s">
        <v>214</v>
      </c>
    </row>
    <row r="33">
      <c r="A33" s="76" t="s">
        <v>215</v>
      </c>
      <c r="B33" s="76" t="s">
        <v>78</v>
      </c>
      <c r="C33" s="60">
        <v>30.0</v>
      </c>
      <c r="D33" s="60">
        <v>10.0</v>
      </c>
      <c r="E33" s="60">
        <v>2.0</v>
      </c>
      <c r="F33" s="60">
        <v>1.0</v>
      </c>
      <c r="G33" s="60">
        <v>2.0</v>
      </c>
      <c r="H33" s="71">
        <v>2.0</v>
      </c>
      <c r="I33" s="73">
        <f t="shared" ref="I33:I37" si="7">sum(C33+1.2*D33+1.5*E33+2*F33+2*G33)-H33</f>
        <v>49</v>
      </c>
      <c r="J33" s="36" t="s">
        <v>219</v>
      </c>
    </row>
    <row r="34">
      <c r="A34" s="76" t="s">
        <v>215</v>
      </c>
      <c r="B34" s="36" t="s">
        <v>84</v>
      </c>
      <c r="C34" s="60">
        <v>29.0</v>
      </c>
      <c r="D34" s="60">
        <v>2.0</v>
      </c>
      <c r="E34" s="60">
        <v>7.0</v>
      </c>
      <c r="F34" s="60">
        <v>0.0</v>
      </c>
      <c r="G34" s="60">
        <v>0.0</v>
      </c>
      <c r="H34" s="71">
        <v>3.0</v>
      </c>
      <c r="I34" s="73">
        <f t="shared" si="7"/>
        <v>38.9</v>
      </c>
      <c r="J34" s="36" t="s">
        <v>219</v>
      </c>
    </row>
    <row r="35">
      <c r="A35" s="76" t="s">
        <v>216</v>
      </c>
      <c r="B35" s="36" t="s">
        <v>180</v>
      </c>
      <c r="C35" s="60">
        <v>26.0</v>
      </c>
      <c r="D35" s="60">
        <v>4.0</v>
      </c>
      <c r="E35" s="60">
        <v>5.0</v>
      </c>
      <c r="F35" s="60">
        <v>2.0</v>
      </c>
      <c r="G35" s="60">
        <v>1.0</v>
      </c>
      <c r="H35" s="71">
        <v>4.0</v>
      </c>
      <c r="I35" s="73">
        <f t="shared" si="7"/>
        <v>40.3</v>
      </c>
      <c r="J35" s="36" t="s">
        <v>219</v>
      </c>
    </row>
    <row r="36">
      <c r="A36" s="76" t="s">
        <v>216</v>
      </c>
      <c r="B36" s="76" t="s">
        <v>91</v>
      </c>
      <c r="C36" s="60">
        <v>25.0</v>
      </c>
      <c r="D36" s="60">
        <v>8.0</v>
      </c>
      <c r="E36" s="60">
        <v>2.0</v>
      </c>
      <c r="F36" s="60">
        <v>0.0</v>
      </c>
      <c r="G36" s="60">
        <v>1.0</v>
      </c>
      <c r="H36" s="71">
        <v>1.0</v>
      </c>
      <c r="I36" s="73">
        <f t="shared" si="7"/>
        <v>38.6</v>
      </c>
      <c r="J36" s="36" t="s">
        <v>219</v>
      </c>
    </row>
    <row r="37">
      <c r="A37" s="76" t="s">
        <v>216</v>
      </c>
      <c r="B37" s="70" t="s">
        <v>58</v>
      </c>
      <c r="C37" s="60">
        <v>8.0</v>
      </c>
      <c r="D37" s="60">
        <v>7.0</v>
      </c>
      <c r="E37" s="60">
        <v>4.0</v>
      </c>
      <c r="F37" s="60">
        <v>0.0</v>
      </c>
      <c r="G37" s="60">
        <v>0.0</v>
      </c>
      <c r="H37" s="71">
        <v>0.0</v>
      </c>
      <c r="I37" s="73">
        <f t="shared" si="7"/>
        <v>22.4</v>
      </c>
      <c r="J37" s="36" t="s">
        <v>219</v>
      </c>
    </row>
    <row r="38">
      <c r="A38" s="96"/>
      <c r="B38" s="108" t="s">
        <v>217</v>
      </c>
      <c r="C38" s="109">
        <f>SUM(C33:C37)</f>
        <v>118</v>
      </c>
      <c r="D38" s="109">
        <f>SUM(D33:D37)*1.2</f>
        <v>37.2</v>
      </c>
      <c r="E38" s="109">
        <f>SUM(E33:E37)*1.5</f>
        <v>30</v>
      </c>
      <c r="F38" s="109">
        <f t="shared" ref="F38:G38" si="8">SUM(F33:F37)*2</f>
        <v>6</v>
      </c>
      <c r="G38" s="109">
        <f t="shared" si="8"/>
        <v>8</v>
      </c>
      <c r="H38" s="109">
        <f>SUM(H33:H37) *-1</f>
        <v>-10</v>
      </c>
      <c r="I38" s="110">
        <f>SUM(C38:H38)</f>
        <v>189.2</v>
      </c>
    </row>
    <row r="39">
      <c r="A39" s="106"/>
      <c r="B39" s="106"/>
      <c r="C39" s="106"/>
      <c r="D39" s="106"/>
      <c r="E39" s="106"/>
      <c r="F39" s="106"/>
      <c r="G39" s="106"/>
      <c r="H39" s="106"/>
      <c r="I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